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color rgb="FF5C0303"/>
      <b val="true"/>
    </font>
    <font>
      <name val="Arial"/>
      <charset val="1"/>
      <family val="2"/>
      <sz val="10"/>
      <color rgb="FF4D4DA7"/>
      <u val="single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7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37"/>
    <col collapsed="false" hidden="false" max="2" min="2" style="0" customWidth="true" width="30"/>
    <col collapsed="false" hidden="false" max="3" min="3" style="0" customWidth="true" width="70"/>
    <col collapsed="false" hidden="false" max="4" min="4" style="0" customWidth="true" width="15"/>
    <col collapsed="false" hidden="false" max="5" min="5" style="0" customWidth="true" width="40"/>
    <col collapsed="false" hidden="false" max="6" min="6" style="0" customWidth="true" width="15"/>
    <col collapsed="false" hidden="false" max="7" min="7" style="0" customWidth="true" width="17"/>
    <col collapsed="false" hidden="false" max="8" min="8" style="0" customWidth="true" width="17"/>
    <col collapsed="false" hidden="false" max="9" min="9" style="0" customWidth="true" width="15"/>
    <col collapsed="false" hidden="false" max="10" min="10" style="0" customWidth="true" width="15"/>
    <col collapsed="false" hidden="false" max="11" min="11" style="0" customWidth="true" width="80"/>
    <col collapsed="false" hidden="false" max="12" min="12" style="0" customWidth="true" width="15"/>
    <col collapsed="false" hidden="false" max="13" min="13" style="0" customWidth="true" width="20"/>
    <col collapsed="false" hidden="false" max="14" min="14" style="0" customWidth="true" width="20"/>
    <col collapsed="false" hidden="false" max="15" min="15" style="0" customWidth="true" width="20"/>
    <col collapsed="false" hidden="false" max="1024" min="16" style="0" customWidth="false" width="11.5"/>
  </cols>
  <sheetData>
    <row collapsed="false" customFormat="false" customHeight="false" hidden="false" ht="12.1" outlineLevel="0" r="1">
      <c r="A1" s="3" t="inlineStr">
        <is>
          <t>Ссылка на www.list-org.com</t>
        </is>
      </c>
      <c r="B1" s="3" t="inlineStr">
        <is>
          <t>Наименование</t>
        </is>
      </c>
      <c r="C1" s="3" t="inlineStr">
        <is>
          <t>Юридическое наименование</t>
        </is>
      </c>
      <c r="D1" s="3" t="inlineStr">
        <is>
          <t>Статус</t>
        </is>
      </c>
      <c r="E1" s="3" t="inlineStr">
        <is>
          <t>Руководитель</t>
        </is>
      </c>
      <c r="F1" s="3" t="inlineStr">
        <is>
          <t>ИНН</t>
        </is>
      </c>
      <c r="G1" s="3" t="inlineStr">
        <is>
          <t>ОГРН</t>
        </is>
      </c>
      <c r="H1" s="3" t="inlineStr">
        <is>
          <t>Телефон (один из)</t>
        </is>
      </c>
      <c r="I1" s="3" t="inlineStr">
        <is>
          <t>E-mail</t>
        </is>
      </c>
      <c r="J1" s="3" t="inlineStr">
        <is>
          <t>Сайт</t>
        </is>
      </c>
      <c r="K1" s="3" t="inlineStr">
        <is>
          <t>Юридический адрес</t>
        </is>
      </c>
      <c r="L1" s="3" t="inlineStr">
        <is>
          <t>Сотрудников</t>
        </is>
      </c>
      <c r="M1" s="3" t="inlineStr">
        <is>
          <t>Выручка (Ф2.2110)</t>
        </is>
      </c>
      <c r="N1" s="3" t="inlineStr">
        <is>
          <t>Прибыль (Ф2.2400)</t>
        </is>
      </c>
      <c r="O1" s="3" t="inlineStr">
        <is>
          <t>Стоимость (Ф1.1300)</t>
        </is>
      </c>
      <c r="P1" s="3" t="inlineStr">
        <is>
          <t>Описание</t>
        </is>
      </c>
      <c r="Q1" s="3" t="inlineStr">
        <is>
          <t>В избранном</t>
        </is>
      </c>
    </row>
    <row collapsed="false" customFormat="false" customHeight="false" hidden="false" ht="12.1" outlineLevel="0" r="2">
      <c r="A2" s="4" t="s">
        <f>HYPERLINK("https://www.list-org.com/company/15095","https://www.list-org.com/company/15095")</f>
      </c>
      <c r="B2" s="5" t="inlineStr">
        <is>
          <t>АО "АТГС"</t>
        </is>
      </c>
      <c r="C2" s="5" t="inlineStr">
        <is>
          <t>АКЦИОНЕРНОЕ ОБЩЕСТВО "АТЛАНТИКТРАНСГАЗСИСТЕМА"</t>
        </is>
      </c>
      <c r="D2" s="5" t="inlineStr">
        <is>
          <t>действующее</t>
        </is>
      </c>
      <c r="E2" s="5" t="inlineStr">
        <is>
          <t>БЕРНЕР ЛЕОНИД ИСААКОВИЧ</t>
        </is>
      </c>
      <c r="F2" s="5" t="inlineStr">
        <is>
          <t>7723011060</t>
        </is>
      </c>
      <c r="G2" s="5" t="inlineStr">
        <is>
          <t>1027700281564</t>
        </is>
      </c>
      <c r="H2" s="5" t="inlineStr">
        <is>
          <t>+7 (495) 660-08-02</t>
        </is>
      </c>
      <c r="I2" s="5" t="inlineStr">
        <is>
          <t>atgs@atgs.ru, isheva@atgs.ru, lapegina@atgs.ru, lubisheva@atgs.ru</t>
        </is>
      </c>
      <c r="J2" s="5" t="inlineStr">
        <is>
          <t>http://atgs.ru</t>
        </is>
      </c>
      <c r="K2" s="5" t="inlineStr">
        <is>
          <t>117574, Г.МОСКВА, ВНУТРИГОРОДСКАЯ ТЕРРИТОРИЯ ГОРОДА ФЕДЕРАЛЬНОГО ЗНАЧЕНИЯ МУНИЦИПАЛЬНЫЙ ОКРУГ ЯСЕНЕВО, ПРОЕЗД ОДОЕВСКОГО, Д. 7, ПОМЕЩ. 8/1</t>
        </is>
      </c>
      <c r="L2" s="6" t="n">
        <v>136</v>
      </c>
      <c r="M2" s="6" t="n">
        <v>1258580</v>
      </c>
      <c r="N2" s="6" t="n">
        <v>88545</v>
      </c>
      <c r="O2" s="6" t="n">
        <v>1362050</v>
      </c>
      <c r="P2" s="5"/>
      <c r="Q2" s="5"/>
    </row>
    <row collapsed="false" customFormat="false" customHeight="false" hidden="false" ht="12.1" outlineLevel="0" r="3">
      <c r="A3" s="4" t="s">
        <f>HYPERLINK("https://www.list-org.com/company/80226","https://www.list-org.com/company/80226")</f>
      </c>
      <c r="B3" s="5" t="inlineStr">
        <is>
          <t>ООО "МЕТТЭМ-М"</t>
        </is>
      </c>
      <c r="C3" s="5" t="inlineStr">
        <is>
          <t>ОБЩЕСТВО С ОГРАНИЧЕННОЙ ОТВЕТСТВЕННОСТЬЮ "МЕТТЭМ-М"</t>
        </is>
      </c>
      <c r="D3" s="5" t="inlineStr">
        <is>
          <t>действующее</t>
        </is>
      </c>
      <c r="E3" s="5" t="inlineStr">
        <is>
          <t>ГУБЕЙДУЛИНА ОЛЬГА НИКОЛАЕВНА</t>
        </is>
      </c>
      <c r="F3" s="5" t="inlineStr">
        <is>
          <t>7713011008</t>
        </is>
      </c>
      <c r="G3" s="5" t="inlineStr">
        <is>
          <t>1027700532782</t>
        </is>
      </c>
      <c r="H3" s="5" t="inlineStr">
        <is>
          <t>480-92-92</t>
        </is>
      </c>
      <c r="I3" s="5" t="inlineStr">
        <is>
          <t>4800561@mail.ru</t>
        </is>
      </c>
      <c r="J3" s="5" t="inlineStr">
        <is>
          <t>http://mettem-m.ru</t>
        </is>
      </c>
      <c r="K3" s="5" t="inlineStr">
        <is>
          <t>125284, Г.МОСКВА, ВНУТРИГОРОДСКАЯ ТЕРРИТОРИЯ ГОРОДА ФЕДЕРАЛЬНОГО ЗНАЧЕНИЯ МУНИЦИПАЛЬНЫЙ ОКРУГ БЕГОВОЙ, ПР-КТ ЛЕНИНГРАДСКИЙ, Д. 29, ПОМЕЩ. 339</t>
        </is>
      </c>
      <c r="L3" s="6" t="n">
        <v>160</v>
      </c>
      <c r="M3" s="6" t="n">
        <v>2102140</v>
      </c>
      <c r="N3" s="6" t="n">
        <v>-47931</v>
      </c>
      <c r="O3" s="6" t="n">
        <v>70556</v>
      </c>
      <c r="P3" s="5"/>
      <c r="Q3" s="5"/>
    </row>
    <row collapsed="false" customFormat="false" customHeight="false" hidden="false" ht="12.1" outlineLevel="0" r="4">
      <c r="A4" s="4" t="s">
        <f>HYPERLINK("https://www.list-org.com/company/81890","https://www.list-org.com/company/81890")</f>
      </c>
      <c r="B4" s="5" t="inlineStr">
        <is>
          <t>ООО "НПП "ЮГПРОМАВТОМАТИЗАЦИЯ" или ООО "НПП "ЮГПА"</t>
        </is>
      </c>
      <c r="C4" s="5" t="inlineStr">
        <is>
          <t>ОБЩЕСТВО С ОГРАНИЧЕННОЙ ОТВЕТСТВЕННОСТЬЮ "НАУЧНО-ПРОИЗВОДСТВЕННОЕ ПРЕДПРИЯТИЕ "ЮГПРОМАВТОМАТИЗАЦИЯ"</t>
        </is>
      </c>
      <c r="D4" s="5" t="inlineStr">
        <is>
          <t>действующее</t>
        </is>
      </c>
      <c r="E4" s="5" t="inlineStr">
        <is>
          <t>ФЕДОРЧУК АНДРЕЙ ЕВГЕНЬЕВИЧ</t>
        </is>
      </c>
      <c r="F4" s="5" t="inlineStr">
        <is>
          <t>6165000652</t>
        </is>
      </c>
      <c r="G4" s="5" t="inlineStr">
        <is>
          <t>1026103732016</t>
        </is>
      </c>
      <c r="H4" s="5" t="inlineStr">
        <is>
          <t>+7 (863) 245-45-09</t>
        </is>
      </c>
      <c r="I4" s="5" t="inlineStr">
        <is>
          <t>info@ugpa.ru</t>
        </is>
      </c>
      <c r="J4" s="5" t="inlineStr">
        <is>
          <t>www.ugpa.ru</t>
        </is>
      </c>
      <c r="K4" s="5" t="inlineStr">
        <is>
          <t>344038, РОСТОВСКАЯ ОБЛАСТЬ, Г. РОСТОВ-НА-ДОНУ, ПР-КТ ЛЕНИНА, Д. 44/13</t>
        </is>
      </c>
      <c r="L4" s="6" t="n">
        <v>389</v>
      </c>
      <c r="M4" s="6" t="n">
        <v>1338750</v>
      </c>
      <c r="N4" s="6" t="n">
        <v>21136</v>
      </c>
      <c r="O4" s="6" t="n">
        <v>1136800</v>
      </c>
      <c r="P4" s="5"/>
      <c r="Q4" s="5"/>
    </row>
    <row collapsed="false" customFormat="false" customHeight="false" hidden="false" ht="12.1" outlineLevel="0" r="5">
      <c r="A5" s="4" t="s">
        <f>HYPERLINK("https://www.list-org.com/company/55462","https://www.list-org.com/company/55462")</f>
      </c>
      <c r="B5" s="5" t="inlineStr">
        <is>
          <t>ФАУ "ГНИИИ ПТЗИ ФСТЭК России"</t>
        </is>
      </c>
      <c r="C5" s="5" t="inlineStr">
        <is>
          <t>федеральное автономное учреждение "Государственный научно-исследовательский испытательный институт проблем технической защиты информации Федеральной службы по техническому и экспортному контролю"</t>
        </is>
      </c>
      <c r="D5" s="5" t="inlineStr">
        <is>
          <t>действующее</t>
        </is>
      </c>
      <c r="E5" s="5" t="inlineStr">
        <is>
          <t>ЗАЙЦЕВ АНДРЕЙ НИКОЛАЕВИЧ</t>
        </is>
      </c>
      <c r="F5" s="5" t="inlineStr">
        <is>
          <t>3666088317</t>
        </is>
      </c>
      <c r="G5" s="5" t="inlineStr">
        <is>
          <t>1023601555647</t>
        </is>
      </c>
      <c r="H5" s="5" t="inlineStr">
        <is>
          <t>+7 (473) 253-99-85</t>
        </is>
      </c>
      <c r="I5" s="5" t="inlineStr">
        <is>
          <t>gniii@fstec.ru, ptzi2015@yandex.ru</t>
        </is>
      </c>
      <c r="J5" s="5" t="inlineStr">
        <is>
          <t>www.rosdornii-vrn.ru</t>
        </is>
      </c>
      <c r="K5" s="5" t="inlineStr">
        <is>
          <t>394036, ВОРОНЕЖСКАЯ ОБЛАСТЬ, Г ВОРОНЕЖ, УЛ СТУДЕНЧЕСКАЯ, Д. 36</t>
        </is>
      </c>
      <c r="L5" s="6" t="n">
        <v>242</v>
      </c>
      <c r="M5" s="6" t="n">
        <v>1368440</v>
      </c>
      <c r="N5" s="6" t="n">
        <v>16107</v>
      </c>
      <c r="O5" s="6" t="n">
        <v>351184</v>
      </c>
      <c r="P5" s="5"/>
      <c r="Q5" s="5"/>
    </row>
    <row collapsed="false" customFormat="false" customHeight="false" hidden="false" ht="12.1" outlineLevel="0" r="6">
      <c r="A6" s="4" t="s">
        <f>HYPERLINK("https://www.list-org.com/company/57694","https://www.list-org.com/company/57694")</f>
      </c>
      <c r="B6" s="5" t="inlineStr">
        <is>
          <t>АО "АЛАДДИН Р.Д."</t>
        </is>
      </c>
      <c r="C6" s="5" t="inlineStr">
        <is>
          <t>АКЦИОНЕРНОЕ ОБЩЕСТВО "АЛАДДИН Р.Д."</t>
        </is>
      </c>
      <c r="D6" s="5" t="inlineStr">
        <is>
          <t>действующее</t>
        </is>
      </c>
      <c r="E6" s="5" t="inlineStr">
        <is>
          <t>ГРУЗДЕВ СЕРГЕЙ ЛЬВОВИЧ</t>
        </is>
      </c>
      <c r="F6" s="5" t="inlineStr">
        <is>
          <t>7719165935</t>
        </is>
      </c>
      <c r="G6" s="5" t="inlineStr">
        <is>
          <t>1027739490415</t>
        </is>
      </c>
      <c r="H6" s="5" t="inlineStr">
        <is>
          <t>+7 (495) 223-00-01</t>
        </is>
      </c>
      <c r="I6" s="5" t="inlineStr">
        <is>
          <t>aladdin@aladdin-rd.ru</t>
        </is>
      </c>
      <c r="J6" s="5" t="inlineStr">
        <is>
          <t>www.aladdin-rd.ru</t>
        </is>
      </c>
      <c r="K6" s="5" t="inlineStr">
        <is>
          <t>129226, Г.МОСКВА, УЛ. ДОКУКИНА, Д. 16, СТР. 1, ЭТ/ПОМ/КОМ 7/1/22</t>
        </is>
      </c>
      <c r="L6" s="6" t="n">
        <v>185</v>
      </c>
      <c r="M6" s="6" t="n">
        <v>1109860</v>
      </c>
      <c r="N6" s="6" t="n">
        <v>-85174</v>
      </c>
      <c r="O6" s="6" t="n">
        <v>1745450</v>
      </c>
      <c r="P6" s="5"/>
      <c r="Q6" s="5"/>
    </row>
    <row collapsed="false" customFormat="false" customHeight="false" hidden="false" ht="12.1" outlineLevel="0" r="7">
      <c r="A7" s="4" t="s">
        <f>HYPERLINK("https://www.list-org.com/company/61221","https://www.list-org.com/company/61221")</f>
      </c>
      <c r="B7" s="5" t="inlineStr">
        <is>
          <t>ЗАО "НТ"</t>
        </is>
      </c>
      <c r="C7" s="5" t="inlineStr">
        <is>
          <t>ЗАКРЫТОЕ АКЦИОНЕРНОЕ ОБЩЕСТВО "НОРСИ-ТРАНС"</t>
        </is>
      </c>
      <c r="D7" s="5" t="inlineStr">
        <is>
          <t>действующее</t>
        </is>
      </c>
      <c r="E7" s="5" t="inlineStr">
        <is>
          <t>ОВЧИННИКОВ СЕРГЕЙ АНАТОЛЬЕВИЧ</t>
        </is>
      </c>
      <c r="F7" s="5" t="inlineStr">
        <is>
          <t>7705051215</t>
        </is>
      </c>
      <c r="G7" s="5" t="inlineStr">
        <is>
          <t>1037700030477</t>
        </is>
      </c>
      <c r="H7" s="5" t="inlineStr">
        <is>
          <t>+7 (495) 238-98-42</t>
        </is>
      </c>
      <c r="I7" s="5" t="inlineStr">
        <is>
          <t>a-zhukova@norsi-trans.ru</t>
        </is>
      </c>
      <c r="J7" s="5" t="inlineStr">
        <is>
          <t>http://norsi-trans.ru</t>
        </is>
      </c>
      <c r="K7" s="5" t="inlineStr">
        <is>
          <t>127015, Г.МОСКВА, УЛ. БОЛЬШАЯ НОВОДМИТРОВСКАЯ, Д. 12, СТР. 15, ЭТАЖ 2 КАБ 36</t>
        </is>
      </c>
      <c r="L7" s="6" t="n">
        <v>365</v>
      </c>
      <c r="M7" s="6" t="n">
        <v>5789940</v>
      </c>
      <c r="N7" s="6" t="n">
        <v>2438720</v>
      </c>
      <c r="O7" s="6" t="n">
        <v>7185140</v>
      </c>
      <c r="P7" s="5"/>
      <c r="Q7" s="5"/>
    </row>
    <row collapsed="false" customFormat="false" customHeight="false" hidden="false" ht="12.1" outlineLevel="0" r="8">
      <c r="A8" s="4" t="s">
        <f>HYPERLINK("https://www.list-org.com/company/75657","https://www.list-org.com/company/75657")</f>
      </c>
      <c r="B8" s="5" t="inlineStr">
        <is>
          <t>ООО "ИНЛАЙН ТЕХНОЛОДЖИС"</t>
        </is>
      </c>
      <c r="C8" s="5" t="inlineStr">
        <is>
          <t>ОБЩЕСТВО С ОГРАНИЧЕННОЙ ОТВЕТСТВЕННОСТЬЮ "ИНЛАЙН ТЕХНОЛОДЖИС"</t>
        </is>
      </c>
      <c r="D8" s="5" t="inlineStr">
        <is>
          <t>действующее</t>
        </is>
      </c>
      <c r="E8" s="5" t="inlineStr">
        <is>
          <t>ХРУПОВ СЕРГЕЙ ВЛАДИМИРОВИЧ</t>
        </is>
      </c>
      <c r="F8" s="5" t="inlineStr">
        <is>
          <t>7715216804</t>
        </is>
      </c>
      <c r="G8" s="5" t="inlineStr">
        <is>
          <t>1027739117592</t>
        </is>
      </c>
      <c r="H8" s="5" t="inlineStr">
        <is>
          <t>+7 (495) 721-35-05</t>
        </is>
      </c>
      <c r="I8" s="5" t="inlineStr">
        <is>
          <t>d.borodina@in-line.ru, e.ivanova@in-line.ru, e.kazeko@in-line.ru, e_ivanova@in-line.ru, i.potapova@</t>
        </is>
      </c>
      <c r="J8" s="5" t="inlineStr">
        <is>
          <t>http://in-line.ru | http://setec.ru</t>
        </is>
      </c>
      <c r="K8" s="5" t="inlineStr">
        <is>
          <t>125373, Г.Москва, ВНУТРИГОРОДСКАЯ ТЕРРИТОРИЯ ГОРОДА ФЕДЕРАЛЬНОГО ЗНАЧЕНИЯ МУНИЦИПАЛЬНЫЙ ОКРУГ ЮЖНОЕ ТУШИНО, ПР-Д ПОХОДНЫЙ, Д. 4, ПОМЕЩ. 3/1</t>
        </is>
      </c>
      <c r="L8" s="6" t="n">
        <v>231</v>
      </c>
      <c r="M8" s="6" t="n">
        <v>5374890</v>
      </c>
      <c r="N8" s="6" t="n">
        <v>126544</v>
      </c>
      <c r="O8" s="6" t="n">
        <v>2081840</v>
      </c>
      <c r="P8" s="5"/>
      <c r="Q8" s="5"/>
    </row>
    <row collapsed="false" customFormat="false" customHeight="false" hidden="false" ht="12.1" outlineLevel="0" r="9">
      <c r="A9" s="4" t="s">
        <f>HYPERLINK("https://www.list-org.com/company/78112","https://www.list-org.com/company/78112")</f>
      </c>
      <c r="B9" s="5" t="inlineStr">
        <is>
          <t>ООО "КРИЛЬОН-СЕРВИС"</t>
        </is>
      </c>
      <c r="C9" s="5" t="inlineStr">
        <is>
          <t>ОБЩЕСТВО С ОГРАНИЧЕННОЙ ОТВЕТСТВЕННОСТЬЮ "КРИЛЬОН-СЕРВИС"</t>
        </is>
      </c>
      <c r="D9" s="5" t="inlineStr">
        <is>
          <t>действующее</t>
        </is>
      </c>
      <c r="E9" s="5" t="inlineStr">
        <is>
          <t>ВОЛКОВ ОЛЕГ АНАТОЛЬЕВИЧ</t>
        </is>
      </c>
      <c r="F9" s="5" t="inlineStr">
        <is>
          <t>6501015270</t>
        </is>
      </c>
      <c r="G9" s="5" t="inlineStr">
        <is>
          <t>1026500530297</t>
        </is>
      </c>
      <c r="H9" s="5" t="inlineStr">
        <is>
          <t>+7 (4242) 49-93-01</t>
        </is>
      </c>
      <c r="I9" s="5" t="inlineStr">
        <is>
          <t>sales@kriljonservice.ru, e.bondar@kriljonservice.ru, o.volkov@kriljonservice.ru</t>
        </is>
      </c>
      <c r="J9" s="5" t="inlineStr">
        <is>
          <t>www.kriljonservice.ru</t>
        </is>
      </c>
      <c r="K9" s="5" t="inlineStr">
        <is>
          <t>693008, САХАЛИНСКАЯ ОБЛАСТЬ, Г ЮЖНО-САХАЛИНСК, УЛ АМУРСКАЯ, Д. 137А</t>
        </is>
      </c>
      <c r="L9" s="6" t="n">
        <v>134</v>
      </c>
      <c r="M9" s="6" t="n">
        <v>2458130</v>
      </c>
      <c r="N9" s="6" t="n">
        <v>196865</v>
      </c>
      <c r="O9" s="6" t="n">
        <v>270298</v>
      </c>
      <c r="P9" s="5"/>
      <c r="Q9" s="5"/>
    </row>
    <row collapsed="false" customFormat="false" customHeight="false" hidden="false" ht="12.1" outlineLevel="0" r="10">
      <c r="A10" s="4" t="s">
        <f>HYPERLINK("https://www.list-org.com/company/94189","https://www.list-org.com/company/94189")</f>
      </c>
      <c r="B10" s="5" t="inlineStr">
        <is>
          <t>ООО "ЦБИ"</t>
        </is>
      </c>
      <c r="C10" s="5" t="inlineStr">
        <is>
          <t>ОБЩЕСТВО С ОГРАНИЧЕННОЙ ОТВЕТСТВЕННОСТЬЮ "ЦЕНТР БЕЗОПАСНОСТИ ИНФОРМАЦИИ"</t>
        </is>
      </c>
      <c r="D10" s="5" t="inlineStr">
        <is>
          <t>действующее</t>
        </is>
      </c>
      <c r="E10" s="5" t="inlineStr">
        <is>
          <t>СИДАК АЛЕКСЕЙ АЛЕКСАНДРОВИЧ</t>
        </is>
      </c>
      <c r="F10" s="5" t="inlineStr">
        <is>
          <t>5054004240</t>
        </is>
      </c>
      <c r="G10" s="5" t="inlineStr">
        <is>
          <t>1025002033110</t>
        </is>
      </c>
      <c r="H10" s="5" t="inlineStr">
        <is>
          <t>515-15-98</t>
        </is>
      </c>
      <c r="I10" s="5" t="inlineStr">
        <is>
          <t>buh@cbi-info.ru, chetves@cbi-info.ru, mail@cbi-info.ru</t>
        </is>
      </c>
      <c r="J10" s="5" t="inlineStr">
        <is>
          <t>http://cbi-info.ru</t>
        </is>
      </c>
      <c r="K10" s="5" t="inlineStr">
        <is>
          <t>141090, МОСКОВСКАЯ ОБЛАСТЬ, Г КОРОЛЁВ, УЛ ЛЕНИНСКАЯ (ЮБИЛЕЙНЫЙ МКР), Д. 4, П/П10</t>
        </is>
      </c>
      <c r="L10" s="6" t="n">
        <v>256</v>
      </c>
      <c r="M10" s="6" t="n">
        <v>2158420</v>
      </c>
      <c r="N10" s="6" t="n">
        <v>314135</v>
      </c>
      <c r="O10" s="6" t="n">
        <v>909125</v>
      </c>
      <c r="P10" s="5"/>
      <c r="Q10" s="5"/>
    </row>
    <row collapsed="false" customFormat="false" customHeight="false" hidden="false" ht="12.1" outlineLevel="0" r="11">
      <c r="A11" s="4" t="s">
        <f>HYPERLINK("https://www.list-org.com/company/127516","https://www.list-org.com/company/127516")</f>
      </c>
      <c r="B11" s="5" t="inlineStr">
        <is>
          <t>ООО "СИГНАТЕК"</t>
        </is>
      </c>
      <c r="C11" s="5" t="inlineStr">
        <is>
          <t>ОБЩЕСТВО С ОГРАНИЧЕННОЙ ОТВЕТСТВЕННОСТЬЮ "СИГНАТЕК"</t>
        </is>
      </c>
      <c r="D11" s="5" t="inlineStr">
        <is>
          <t>действующее</t>
        </is>
      </c>
      <c r="E11" s="5" t="inlineStr">
        <is>
          <t>ЧЕРНЫШОВ МИХАИЛ СЕРГЕЕВИЧ</t>
        </is>
      </c>
      <c r="F11" s="5" t="inlineStr">
        <is>
          <t>5408114571</t>
        </is>
      </c>
      <c r="G11" s="5" t="inlineStr">
        <is>
          <t>1025403649534</t>
        </is>
      </c>
      <c r="H11" s="5" t="inlineStr">
        <is>
          <t>+7 (383) 333-22-35</t>
        </is>
      </c>
      <c r="I11" s="5" t="inlineStr">
        <is>
          <t>market@signatec.ru, ksenchuk@signatek.ru, job@signatec.ru, sov@signatec.ru</t>
        </is>
      </c>
      <c r="J11" s="5" t="inlineStr">
        <is>
          <t>www.signatec.ru</t>
        </is>
      </c>
      <c r="K11" s="5" t="inlineStr">
        <is>
          <t>630090, НОВОСИБИРСКАЯ ОБЛАСТЬ, Г. НОВОСИБИРСК, УЛ. ИНЖЕНЕРНАЯ, Д.22</t>
        </is>
      </c>
      <c r="L11" s="6" t="n">
        <v>134</v>
      </c>
      <c r="M11" s="6" t="n">
        <v>725801</v>
      </c>
      <c r="N11" s="6" t="n">
        <v>28256</v>
      </c>
      <c r="O11" s="6" t="n">
        <v>505643</v>
      </c>
      <c r="P11" s="5"/>
      <c r="Q11" s="5"/>
    </row>
    <row collapsed="false" customFormat="false" customHeight="false" hidden="false" ht="12.1" outlineLevel="0" r="12">
      <c r="A12" s="4" t="s">
        <f>HYPERLINK("https://www.list-org.com/company/143630","https://www.list-org.com/company/143630")</f>
      </c>
      <c r="B12" s="5" t="inlineStr">
        <is>
          <t>ООО"МОНТ"</t>
        </is>
      </c>
      <c r="C12" s="5" t="inlineStr">
        <is>
          <t>ОБЩЕСТВО С ОГРАНИЧЕННОЙ ОТВЕТСТВЕННОСТЬЮ"МОНТ"</t>
        </is>
      </c>
      <c r="D12" s="5" t="inlineStr">
        <is>
          <t>действующее</t>
        </is>
      </c>
      <c r="E12" s="5" t="inlineStr">
        <is>
          <t>ЧЕСНОКОВ АЛЕКСАНДР НИКОЛАЕВИЧ</t>
        </is>
      </c>
      <c r="F12" s="5" t="inlineStr">
        <is>
          <t>7703313144</t>
        </is>
      </c>
      <c r="G12" s="5" t="inlineStr">
        <is>
          <t>1027739331014</t>
        </is>
      </c>
      <c r="H12" s="5" t="inlineStr">
        <is>
          <t>+7 (495) 253-70-69</t>
        </is>
      </c>
      <c r="I12" s="5" t="inlineStr">
        <is>
          <t>omatasova@mont.com, omatasova@mont.ru, mont@mont.com</t>
        </is>
      </c>
      <c r="J12" s="5" t="inlineStr">
        <is>
          <t>www.mont.com</t>
        </is>
      </c>
      <c r="K12" s="5" t="inlineStr">
        <is>
          <t>123557, Г.МОСКВА, УЛ. ПРЕСНЕНСКИЙ ВАЛ, Д. 14, ЭТ 10 ПОМ I КОМ 13</t>
        </is>
      </c>
      <c r="L12" s="6" t="n">
        <v>274</v>
      </c>
      <c r="M12" s="6" t="n">
        <v>49782000</v>
      </c>
      <c r="N12" s="6" t="n">
        <v>2873580</v>
      </c>
      <c r="O12" s="6" t="n">
        <v>4920840</v>
      </c>
      <c r="P12" s="5"/>
      <c r="Q12" s="5"/>
    </row>
    <row collapsed="false" customFormat="false" customHeight="false" hidden="false" ht="12.1" outlineLevel="0" r="13">
      <c r="A13" s="4" t="s">
        <f>HYPERLINK("https://www.list-org.com/company/408282","https://www.list-org.com/company/408282")</f>
      </c>
      <c r="B13" s="5" t="inlineStr">
        <is>
          <t>ООО "ОФИСНЫЙ МИР КМ"</t>
        </is>
      </c>
      <c r="C13" s="5" t="inlineStr">
        <is>
          <t>ОБЩЕСТВО С ОГРАНИЧЕННОЙ ОТВЕТСТВЕННОСТЬЮ "ОФИСНЫЙ МИР КМ"</t>
        </is>
      </c>
      <c r="D13" s="5" t="inlineStr">
        <is>
          <t>действующее</t>
        </is>
      </c>
      <c r="E13" s="5" t="inlineStr">
        <is>
          <t>КАРАКУШЬЯН ЕВГЕНИЙ ЛАЗАРЕВИЧ</t>
        </is>
      </c>
      <c r="F13" s="5" t="inlineStr">
        <is>
          <t>6165112300</t>
        </is>
      </c>
      <c r="G13" s="5" t="inlineStr">
        <is>
          <t>1046165000551</t>
        </is>
      </c>
      <c r="H13" s="5" t="inlineStr">
        <is>
          <t>+7 (863) 227-61-28</t>
        </is>
      </c>
      <c r="I13" s="5" t="inlineStr">
        <is>
          <t>thall@km-union.ru</t>
        </is>
      </c>
      <c r="J13" s="5" t="inlineStr">
        <is>
          <t>http://istore.km-union.ru</t>
        </is>
      </c>
      <c r="K13" s="5" t="inlineStr">
        <is>
          <t>125371, Г.МОСКВА, ВНУТРИГОРОДСКАЯ ТЕРРИТОРИЯ ГОРОДА ФЕДЕРАЛЬНОГО ЗНАЧЕНИЯ МУНИЦИПАЛЬНЫЙ ОКРУГ ПОКРОВСКОЕ-СТРЕШНЕВО, Ш ВОЛОКОЛАМСКОЕ, Д. 116, ПОМЕЩ. 24Н/4</t>
        </is>
      </c>
      <c r="L13" s="6" t="n">
        <v>231</v>
      </c>
      <c r="M13" s="6" t="n">
        <v>1547640</v>
      </c>
      <c r="N13" s="6" t="n">
        <v>6107</v>
      </c>
      <c r="O13" s="6" t="n">
        <v>1009600</v>
      </c>
      <c r="P13" s="5"/>
      <c r="Q13" s="5"/>
    </row>
    <row collapsed="false" customFormat="false" customHeight="false" hidden="false" ht="12.1" outlineLevel="0" r="14">
      <c r="A14" s="4" t="s">
        <f>HYPERLINK("https://www.list-org.com/company/4379433","https://www.list-org.com/company/4379433")</f>
      </c>
      <c r="B14" s="5" t="inlineStr">
        <is>
          <t>ООО "Инлайн Телеком Солюшнс"</t>
        </is>
      </c>
      <c r="C14" s="5" t="inlineStr">
        <is>
          <t>ОБЩЕСТВО С ОГРАНИЧЕННОЙ ОТВЕТСТВЕННОСТЬЮ "ИНЛАЙН ТЕЛЕКОМ СОЛЮШНС"</t>
        </is>
      </c>
      <c r="D14" s="5" t="inlineStr">
        <is>
          <t>действующее</t>
        </is>
      </c>
      <c r="E14" s="5" t="inlineStr">
        <is>
          <t>ПЕТРОВ ЕВГЕНИЙ АНАТОЛЬЕВИЧ</t>
        </is>
      </c>
      <c r="F14" s="5" t="inlineStr">
        <is>
          <t>7715612935</t>
        </is>
      </c>
      <c r="G14" s="5" t="inlineStr">
        <is>
          <t>5067746125277</t>
        </is>
      </c>
      <c r="H14" s="5" t="inlineStr">
        <is>
          <t>+7 (495) 645-44-50</t>
        </is>
      </c>
      <c r="I14" s="5" t="inlineStr">
        <is>
          <t>its-edo@inlinetelecom.ru</t>
        </is>
      </c>
      <c r="J14" s="5" t="inlineStr">
        <is>
          <t>www.inlinetelecom.ru</t>
        </is>
      </c>
      <c r="K14" s="5" t="inlineStr">
        <is>
          <t>115419, Г.МОСКВА, ПР-Д 5-Й ДОНСКОЙ, Д. 4, ЭТ 6 ПОМ I КОМ 7,8</t>
        </is>
      </c>
      <c r="L14" s="6" t="n">
        <v>155</v>
      </c>
      <c r="M14" s="6" t="n">
        <v>4045060</v>
      </c>
      <c r="N14" s="6" t="n">
        <v>414891</v>
      </c>
      <c r="O14" s="6" t="n">
        <v>632141</v>
      </c>
      <c r="P14" s="5"/>
      <c r="Q14" s="5"/>
    </row>
    <row collapsed="false" customFormat="false" customHeight="false" hidden="false" ht="12.1" outlineLevel="0" r="15">
      <c r="A15" s="4" t="s">
        <f>HYPERLINK("https://www.list-org.com/company/4826166","https://www.list-org.com/company/4826166")</f>
      </c>
      <c r="B15" s="5" t="inlineStr">
        <is>
          <t>ООО "ЭТЗ "ВЕКТОР"</t>
        </is>
      </c>
      <c r="C15" s="5" t="inlineStr">
        <is>
          <t>ОБЩЕСТВО С ОГРАНИЧЕННОЙ ОТВЕТСТВЕННОСТЬЮ "ЭЛЕКТРОТЕХНИЧЕСКИЙ ЗАВОД "ВЕКТОР"</t>
        </is>
      </c>
      <c r="D15" s="5" t="inlineStr">
        <is>
          <t>действующее</t>
        </is>
      </c>
      <c r="E15" s="5" t="inlineStr">
        <is>
          <t>ГУСЕВ АНДРЕЙ АНАТОЛЬЕВИЧ</t>
        </is>
      </c>
      <c r="F15" s="5" t="inlineStr">
        <is>
          <t>1828016121</t>
        </is>
      </c>
      <c r="G15" s="5" t="inlineStr">
        <is>
          <t>1071828000617</t>
        </is>
      </c>
      <c r="H15" s="5" t="inlineStr">
        <is>
          <t>+7 (34145) 5-59-99</t>
        </is>
      </c>
      <c r="I15" s="5" t="inlineStr">
        <is>
          <t>pmi@etz-vektor.ru</t>
        </is>
      </c>
      <c r="J15" s="5" t="inlineStr">
        <is>
          <t>http://etz-vektor.ru</t>
        </is>
      </c>
      <c r="K15" s="5" t="inlineStr">
        <is>
          <t>427432, УДМУРТСКАЯ РЕСПУБЛИКА, Г. ВОТКИНСК, УЛ. ПОБЕДЫ, Д.2Е</t>
        </is>
      </c>
      <c r="L15" s="6" t="n">
        <v>351</v>
      </c>
      <c r="M15" s="6" t="n">
        <v>3549360</v>
      </c>
      <c r="N15" s="6" t="n">
        <v>79214</v>
      </c>
      <c r="O15" s="6" t="n">
        <v>927856</v>
      </c>
      <c r="P15" s="5"/>
      <c r="Q15" s="5"/>
    </row>
    <row collapsed="false" customFormat="false" customHeight="false" hidden="false" ht="12.1" outlineLevel="0" r="16">
      <c r="A16" s="4" t="s">
        <f>HYPERLINK("https://www.list-org.com/company/8109316","https://www.list-org.com/company/8109316")</f>
      </c>
      <c r="B16" s="5" t="inlineStr">
        <is>
          <t>ООО "СЗСС"</t>
        </is>
      </c>
      <c r="C16" s="5" t="inlineStr">
        <is>
          <t>ОБЩЕСТВО С ОГРАНИЧЕННОЙ ОТВЕТСТВЕННОСТЬЮ "СЕВЗАПСПЕЦСВЯЗЬ"</t>
        </is>
      </c>
      <c r="D16" s="5" t="inlineStr">
        <is>
          <t>действующее</t>
        </is>
      </c>
      <c r="E16" s="5" t="inlineStr">
        <is>
          <t>МАШУТИН ВАЛЕНТИН СЕРГЕЕВИЧ</t>
        </is>
      </c>
      <c r="F16" s="5" t="inlineStr">
        <is>
          <t>7813215630</t>
        </is>
      </c>
      <c r="G16" s="5" t="inlineStr">
        <is>
          <t>1157847070237</t>
        </is>
      </c>
      <c r="H16" s="5" t="inlineStr">
        <is>
          <t>+7 (812) 292-44-99</t>
        </is>
      </c>
      <c r="I16" s="5" t="inlineStr">
        <is>
          <t>info@nwssv.ru</t>
        </is>
      </c>
      <c r="J16" s="5" t="inlineStr">
        <is>
          <t>http://nwssv.ru</t>
        </is>
      </c>
      <c r="K16" s="5" t="inlineStr">
        <is>
          <t>194223, САНКТ-ПЕТЕРБУРГ ГОРОД, ПРОСПЕКТ СВЕТЛАНОВСКИЙ, Д. 11, ЛИТЕР А, ПОМЕЩ. 3-Н КАБИНЕТ 42</t>
        </is>
      </c>
      <c r="L16" s="6" t="n">
        <v>118</v>
      </c>
      <c r="M16" s="6" t="n">
        <v>760628</v>
      </c>
      <c r="N16" s="6" t="n">
        <v>32745</v>
      </c>
      <c r="O16" s="6" t="n">
        <v>42892</v>
      </c>
      <c r="P16" s="5"/>
      <c r="Q16" s="5"/>
    </row>
    <row collapsed="false" customFormat="false" customHeight="false" hidden="false" ht="12.1" outlineLevel="0" r="17">
      <c r="A17" s="4" t="s">
        <f>HYPERLINK("https://www.list-org.com/company/4234","https://www.list-org.com/company/4234")</f>
      </c>
      <c r="B17" s="5" t="inlineStr">
        <is>
          <t>АО "ИСКРА ТЕХНОЛОГИИ"</t>
        </is>
      </c>
      <c r="C17" s="5" t="inlineStr">
        <is>
          <t>АКЦИОНЕРНОЕ ОБЩЕСТВО "ИСКРА ТЕХНОЛОГИИ"</t>
        </is>
      </c>
      <c r="D17" s="5" t="inlineStr">
        <is>
          <t>действующее</t>
        </is>
      </c>
      <c r="E17" s="5" t="inlineStr">
        <is>
          <t>ДАВЫДОВ ВЛАДИСЛАВ ВЛАДИМИРОВИЧ</t>
        </is>
      </c>
      <c r="F17" s="5" t="inlineStr">
        <is>
          <t>6660017837</t>
        </is>
      </c>
      <c r="G17" s="5" t="inlineStr">
        <is>
          <t>1026604933475</t>
        </is>
      </c>
      <c r="H17" s="5" t="inlineStr">
        <is>
          <t>+7 (343) 210-69-51</t>
        </is>
      </c>
      <c r="I17" s="5" t="inlineStr">
        <is>
          <t>info@iskratechno.ru</t>
        </is>
      </c>
      <c r="J17" s="5" t="inlineStr">
        <is>
          <t>https://www.iskratechno.ru</t>
        </is>
      </c>
      <c r="K17" s="5" t="inlineStr">
        <is>
          <t>620066, СВЕРДЛОВСКАЯ ОБЛАСТЬ, Г. ЕКАТЕРИНБУРГ, УЛ. КОМВУЗОВСКАЯ, Д. 9, СТР. А</t>
        </is>
      </c>
      <c r="L17" s="6" t="n">
        <v>144</v>
      </c>
      <c r="M17" s="6" t="n">
        <v>4064530</v>
      </c>
      <c r="N17" s="6" t="n">
        <v>137346</v>
      </c>
      <c r="O17" s="6" t="n">
        <v>478040</v>
      </c>
      <c r="P17" s="5"/>
      <c r="Q17" s="5"/>
    </row>
    <row collapsed="false" customFormat="false" customHeight="false" hidden="false" ht="12.1" outlineLevel="0" r="18">
      <c r="A18" s="4" t="s">
        <f>HYPERLINK("https://www.list-org.com/company/6164","https://www.list-org.com/company/6164")</f>
      </c>
      <c r="B18" s="5" t="inlineStr">
        <is>
          <t>АО «ММТС-9»</t>
        </is>
      </c>
      <c r="C18" s="5" t="inlineStr">
        <is>
          <t>АКЦИОНЕРНОЕ ОБЩЕСТВО "МОСКОВСКАЯ МЕЖДУГОРОДНАЯ ТЕЛЕФОННАЯ СТАНЦИЯ №9"</t>
        </is>
      </c>
      <c r="D18" s="5" t="inlineStr">
        <is>
          <t>действующее</t>
        </is>
      </c>
      <c r="E18" s="5" t="inlineStr">
        <is>
          <t>ГАЛАКТИОНОВ ПАВЕЛ АНДРЕЕВИЧ</t>
        </is>
      </c>
      <c r="F18" s="5" t="inlineStr">
        <is>
          <t>7728037545</t>
        </is>
      </c>
      <c r="G18" s="5" t="inlineStr">
        <is>
          <t>1027739132717</t>
        </is>
      </c>
      <c r="H18" s="5" t="inlineStr">
        <is>
          <t>+7 (495) 337-61-66</t>
        </is>
      </c>
      <c r="I18" s="5" t="inlineStr">
        <is>
          <t>diana.dvoretskikh@art.ru, diana.dvoretskikh@rt.ru, e.e.golubeva@rt.ru, e.sergeenko@nw.rt.ru, zlb@mmts9.ru</t>
        </is>
      </c>
      <c r="J18" s="5" t="inlineStr">
        <is>
          <t>www.mmts9.ru</t>
        </is>
      </c>
      <c r="K18" s="5" t="inlineStr">
        <is>
          <t>117485, Г.МОСКВА, УЛ. БУТЛЕРОВА, Д.7</t>
        </is>
      </c>
      <c r="L18" s="6" t="n">
        <v>145</v>
      </c>
      <c r="M18" s="6" t="n">
        <v>3344980</v>
      </c>
      <c r="N18" s="6" t="n">
        <v>2071020</v>
      </c>
      <c r="O18" s="6" t="n">
        <v>10214500</v>
      </c>
      <c r="P18" s="5"/>
      <c r="Q18" s="5"/>
    </row>
    <row collapsed="false" customFormat="false" customHeight="false" hidden="false" ht="12.1" outlineLevel="0" r="19">
      <c r="A19" s="4" t="s">
        <f>HYPERLINK("https://www.list-org.com/company/14279","https://www.list-org.com/company/14279")</f>
      </c>
      <c r="B19" s="5" t="inlineStr">
        <is>
          <t>АО "АЙСИЭЛ-КПО ВС"</t>
        </is>
      </c>
      <c r="C19" s="5" t="inlineStr">
        <is>
          <t>АКЦИОНЕРНОЕ ОБЩЕСТВО "АЙСИЭЛ-КПО ВС"</t>
        </is>
      </c>
      <c r="D19" s="5" t="inlineStr">
        <is>
          <t>действующее</t>
        </is>
      </c>
      <c r="E19" s="5" t="inlineStr">
        <is>
          <t>СТЕПАНОВ ЕВГЕНИЙ ВИТАЛЬЕВИЧ</t>
        </is>
      </c>
      <c r="F19" s="5" t="inlineStr">
        <is>
          <t>1660014361</t>
        </is>
      </c>
      <c r="G19" s="5" t="inlineStr">
        <is>
          <t>1021603632170</t>
        </is>
      </c>
      <c r="H19" s="5" t="inlineStr">
        <is>
          <t>+7 (843) 279-58-23</t>
        </is>
      </c>
      <c r="I19" s="5" t="inlineStr">
        <is>
          <t>info@icl.kazan.ru, vpk@icl.kazan.ru</t>
        </is>
      </c>
      <c r="J19" s="5" t="inlineStr">
        <is>
          <t>www.icl.ru</t>
        </is>
      </c>
      <c r="K19" s="5" t="inlineStr">
        <is>
          <t>420029, РЕСПУБЛИКА ТАТАРСТАН (ТАТАРСТАН), Г. КАЗАНЬ, УЛ. СИБИРСКИЙ ТРАКТ, Д.34</t>
        </is>
      </c>
      <c r="L19" s="6" t="n">
        <v>218</v>
      </c>
      <c r="M19" s="6" t="n">
        <v>1297920</v>
      </c>
      <c r="N19" s="6" t="n">
        <v>33027</v>
      </c>
      <c r="O19" s="6" t="n">
        <v>2124360</v>
      </c>
      <c r="P19" s="5"/>
      <c r="Q19" s="5"/>
    </row>
    <row collapsed="false" customFormat="false" customHeight="false" hidden="false" ht="12.1" outlineLevel="0" r="20">
      <c r="A20" s="4" t="s">
        <f>HYPERLINK("https://www.list-org.com/company/15749","https://www.list-org.com/company/15749")</f>
      </c>
      <c r="B20" s="5" t="inlineStr">
        <is>
          <t>АО "КОМПЬЮТЕРНЫЕ СИСТЕМЫ ДЛЯ БИЗНЕСА"</t>
        </is>
      </c>
      <c r="C20" s="5" t="inlineStr">
        <is>
          <t>АКЦИОНЕРНОЕ ОБЩЕСТВО "КОМПЬЮТЕРНЫЕ СИСТЕМЫ ДЛЯ БИЗНЕСА"</t>
        </is>
      </c>
      <c r="D20" s="5" t="inlineStr">
        <is>
          <t>действующее</t>
        </is>
      </c>
      <c r="E20" s="5" t="inlineStr">
        <is>
          <t>МАКЕЕНКОВ АЛЕКСЕЙ ГЕННАДЬЕВИЧ</t>
        </is>
      </c>
      <c r="F20" s="5" t="inlineStr">
        <is>
          <t>7810904409</t>
        </is>
      </c>
      <c r="G20" s="5" t="inlineStr">
        <is>
          <t>1027804879387</t>
        </is>
      </c>
      <c r="H20" s="5" t="inlineStr">
        <is>
          <t>+7 (812) 373-05-21</t>
        </is>
      </c>
      <c r="I20" s="5" t="inlineStr">
        <is>
          <t>info@csbi.ru</t>
        </is>
      </c>
      <c r="J20" s="5" t="inlineStr">
        <is>
          <t>www.csbi.ru</t>
        </is>
      </c>
      <c r="K20" s="5" t="inlineStr">
        <is>
          <t>196246, Г.САНКТ-ПЕТЕРБУРГ, Ш ПУЛКОВСКОЕ, Д. 30, К. 4 ЛИТЕРА А, ОФИС 203</t>
        </is>
      </c>
      <c r="L20" s="6" t="n">
        <v>137</v>
      </c>
      <c r="M20" s="6" t="n">
        <v>413714</v>
      </c>
      <c r="N20" s="6" t="n">
        <v>10207</v>
      </c>
      <c r="O20" s="6" t="n">
        <v>118140</v>
      </c>
      <c r="P20" s="5"/>
      <c r="Q20" s="5"/>
    </row>
    <row collapsed="false" customFormat="false" customHeight="false" hidden="false" ht="12.1" outlineLevel="0" r="21">
      <c r="A21" s="4" t="s">
        <f>HYPERLINK("https://www.list-org.com/company/20760","https://www.list-org.com/company/20760")</f>
      </c>
      <c r="B21" s="5" t="inlineStr">
        <is>
          <t>АО НИИ ЦПС</t>
        </is>
      </c>
      <c r="C21" s="5" t="inlineStr">
        <is>
          <t>АКЦИОНЕРНОЕ ОБЩЕСТВО "НАУЧНО-ИССЛЕДОВАТЕЛЬСКИЙ ИНСТИТУТ "ЦЕНТРПРОГРАММСИСТЕМ"</t>
        </is>
      </c>
      <c r="D21" s="5" t="inlineStr">
        <is>
          <t>действующее</t>
        </is>
      </c>
      <c r="E21" s="5" t="inlineStr">
        <is>
          <t>КУПРИЯНОВ КИРИЛЛ ВАЛЕРЬЕВИЧ</t>
        </is>
      </c>
      <c r="F21" s="5" t="inlineStr">
        <is>
          <t>6904008332</t>
        </is>
      </c>
      <c r="G21" s="5" t="inlineStr">
        <is>
          <t>1026900539467</t>
        </is>
      </c>
      <c r="H21" s="5" t="inlineStr">
        <is>
          <t>+7 (4822) 44-32-44</t>
        </is>
      </c>
      <c r="I21" s="5" t="inlineStr">
        <is>
          <t>info@cps.tver.ru</t>
        </is>
      </c>
      <c r="J21" s="5" t="inlineStr">
        <is>
          <t>www.cps.tver.ru</t>
        </is>
      </c>
      <c r="K21" s="5" t="inlineStr">
        <is>
          <t>170024, ТВЕРСКАЯ ОБЛАСТЬ, ГОРОД ТВЕРЬ, Г. Тверь, Г ТВЕРЬ, ПР-КТ НИКОЛАЯ КОРЫТКОВА, Д. 3А</t>
        </is>
      </c>
      <c r="L21" s="6" t="n">
        <v>377</v>
      </c>
      <c r="M21" s="6" t="n">
        <v>698028</v>
      </c>
      <c r="N21" s="6" t="n">
        <v>39998</v>
      </c>
      <c r="O21" s="6" t="n">
        <v>425517</v>
      </c>
      <c r="P21" s="5"/>
      <c r="Q21" s="5"/>
    </row>
    <row collapsed="false" customFormat="false" customHeight="false" hidden="false" ht="12.1" outlineLevel="0" r="22">
      <c r="A22" s="4" t="s">
        <f>HYPERLINK("https://www.list-org.com/company/26151","https://www.list-org.com/company/26151")</f>
      </c>
      <c r="B22" s="5" t="inlineStr">
        <is>
          <t>АО "РИВЦ-ПУЛКОВО"</t>
        </is>
      </c>
      <c r="C22" s="5" t="inlineStr">
        <is>
          <t>АКЦИОНЕРНОЕ ОБЩЕСТВО  "РЕГИОНАЛЬНЫЙ ИНФОРМАЦИОННО-ВЫЧИСЛИТЕЛЬНЫЙ ЦЕНТР "ПУЛКОВО"</t>
        </is>
      </c>
      <c r="D22" s="5" t="inlineStr">
        <is>
          <t>действующее</t>
        </is>
      </c>
      <c r="E22" s="5" t="inlineStr">
        <is>
          <t>ГОЛОВЧЕНКО ГЛЕБ ВАЛЕНТИНОВИЧ</t>
        </is>
      </c>
      <c r="F22" s="5" t="inlineStr">
        <is>
          <t>7810207359</t>
        </is>
      </c>
      <c r="G22" s="5" t="inlineStr">
        <is>
          <t>1027804874460</t>
        </is>
      </c>
      <c r="H22" s="5" t="inlineStr">
        <is>
          <t>+7 (812) 123-83-76</t>
        </is>
      </c>
      <c r="I22" s="5" t="inlineStr">
        <is>
          <t>office@rivc-pulkovo.ru</t>
        </is>
      </c>
      <c r="J22" s="5" t="inlineStr">
        <is>
          <t>www.rivc-pulkovo.ru</t>
        </is>
      </c>
      <c r="K22" s="5" t="inlineStr">
        <is>
          <t>196210, Г.САНКТ-ПЕТЕРБУРГ, МУНИЦИПАЛЬНЫЙ ОКРУГ ПУЛКОВСКИЙ МЕРИДИАН, УЛ ПИЛОТОВ, Д. 24,ЛИТЕРА А, ЛИТЕРА А, ПОМЕЩ. 4-Н</t>
        </is>
      </c>
      <c r="L22" s="6" t="n">
        <v>100</v>
      </c>
      <c r="M22" s="6" t="n">
        <v>457894</v>
      </c>
      <c r="N22" s="6" t="n">
        <v>104692</v>
      </c>
      <c r="O22" s="6" t="n">
        <v>178037</v>
      </c>
      <c r="P22" s="5"/>
      <c r="Q22" s="5"/>
    </row>
    <row collapsed="false" customFormat="false" customHeight="false" hidden="false" ht="12.1" outlineLevel="0" r="23">
      <c r="A23" s="4" t="s">
        <f>HYPERLINK("https://www.list-org.com/company/37702","https://www.list-org.com/company/37702")</f>
      </c>
      <c r="B23" s="5" t="inlineStr">
        <is>
          <t>АО "ЛАНИТ"</t>
        </is>
      </c>
      <c r="C23" s="5" t="inlineStr">
        <is>
          <t>АКЦИОНЕРНОЕ ОБЩЕСТВО ЛАБОРАТОРИЯ НОВЫХ ИНФОРМАЦИОННЫХ ТЕХНОЛОГИЙ "ЛАНИТ"</t>
        </is>
      </c>
      <c r="D23" s="5" t="inlineStr">
        <is>
          <t>действующее</t>
        </is>
      </c>
      <c r="E23" s="5" t="inlineStr">
        <is>
          <t>КАЗИН АЛЕКСЕЙ ДМИТРИЕВИЧ</t>
        </is>
      </c>
      <c r="F23" s="5" t="inlineStr">
        <is>
          <t>7727004113</t>
        </is>
      </c>
      <c r="G23" s="5" t="inlineStr">
        <is>
          <t>1027739031572</t>
        </is>
      </c>
      <c r="H23" s="5" t="inlineStr">
        <is>
          <t>+7 (495) 967-66-50</t>
        </is>
      </c>
      <c r="I23" s="5" t="inlineStr">
        <is>
          <t>lanit@lanit.ru</t>
        </is>
      </c>
      <c r="J23" s="5" t="inlineStr">
        <is>
          <t>https://www.lanit.ru</t>
        </is>
      </c>
      <c r="K23" s="5" t="inlineStr">
        <is>
          <t>129075, Г.Москва, ВНУТРИГОРОДСКАЯ ТЕРРИТОРИЯ ГОРОДА ФЕДЕРАЛЬНОГО ЗНАЧЕНИЯ МУНИЦИПАЛЬНЫЙ ОКРУГ ОСТАНКИНСКИЙ, ПРОЕЗД МУРМАНСКИЙ, Д. 14</t>
        </is>
      </c>
      <c r="L23" s="6" t="n">
        <v>231</v>
      </c>
      <c r="M23" s="6" t="n">
        <v>14109800</v>
      </c>
      <c r="N23" s="6" t="n">
        <v>47964</v>
      </c>
      <c r="O23" s="6" t="n">
        <v>2847860</v>
      </c>
      <c r="P23" s="5"/>
      <c r="Q23" s="5"/>
    </row>
    <row collapsed="false" customFormat="false" customHeight="false" hidden="false" ht="12.1" outlineLevel="0" r="24">
      <c r="A24" s="4" t="s">
        <f>HYPERLINK("https://www.list-org.com/company/39612","https://www.list-org.com/company/39612")</f>
      </c>
      <c r="B24" s="5" t="inlineStr">
        <is>
          <t>ГБУ МО "МОСОБЛГЕОТРЕСТ"</t>
        </is>
      </c>
      <c r="C24" s="5" t="inlineStr">
        <is>
          <t>ГОСУДАРСТВЕННОЕ БЮДЖЕТНОЕ УЧРЕЖДЕНИЕ МОСКОВСКОЙ ОБЛАСТИ "ТРЕСТ ГЕОЛОГО-ГЕОДЕЗИЧЕСКИХ И АРХИТЕКТУРНО-ПЛАНИРОВОЧНЫХ РАБОТ "МОСОБЛГЕОТРЕСТ"</t>
        </is>
      </c>
      <c r="D24" s="5" t="inlineStr">
        <is>
          <t>действующее</t>
        </is>
      </c>
      <c r="E24" s="5" t="inlineStr">
        <is>
          <t>ГАВРИЛОВ ДМИТРИЙ МИХАЙЛОВИЧ</t>
        </is>
      </c>
      <c r="F24" s="5" t="inlineStr">
        <is>
          <t>5032238990</t>
        </is>
      </c>
      <c r="G24" s="5" t="inlineStr">
        <is>
          <t>1165032054714</t>
        </is>
      </c>
      <c r="H24" s="5" t="inlineStr">
        <is>
          <t>+7 (495) 387-42-01</t>
        </is>
      </c>
      <c r="I24" s="5" t="inlineStr">
        <is>
          <t>aav@mogt.ru, kremneva@mogt.ru, kremneva@mosreg.ru, kremnevaae@mosreg.ru, popeliukie@mogt.ru</t>
        </is>
      </c>
      <c r="J24" s="5" t="inlineStr">
        <is>
          <t>mogt.ru</t>
        </is>
      </c>
      <c r="K24" s="5" t="inlineStr">
        <is>
          <t>143006, МОСКОВСКАЯ ОБЛАСТЬ, ОДИНЦОВО Г., УЛ. ВОСТОЧНАЯ, Д. 2</t>
        </is>
      </c>
      <c r="L24" s="6" t="n">
        <v>111</v>
      </c>
      <c r="M24" s="6" t="n">
        <v>147421</v>
      </c>
      <c r="N24" s="6" t="n">
        <v>92</v>
      </c>
      <c r="O24" s="6" t="n">
        <v>83705</v>
      </c>
      <c r="P24" s="5"/>
      <c r="Q24" s="5"/>
    </row>
    <row collapsed="false" customFormat="false" customHeight="false" hidden="false" ht="12.1" outlineLevel="0" r="25">
      <c r="A25" s="4" t="s">
        <f>HYPERLINK("https://www.list-org.com/company/40824","https://www.list-org.com/company/40824")</f>
      </c>
      <c r="B25" s="5" t="inlineStr">
        <is>
          <t>АО "ВАЗСИСТЕМ"</t>
        </is>
      </c>
      <c r="C25" s="5" t="inlineStr">
        <is>
          <t>Акционерное общество "ВАЗСИСТЕМ"</t>
        </is>
      </c>
      <c r="D25" s="5" t="inlineStr">
        <is>
          <t>действующее</t>
        </is>
      </c>
      <c r="E25" s="5" t="inlineStr">
        <is>
          <t>КОРОТКОВ ДЕНИС ВЛАДИМИРОВИЧ</t>
        </is>
      </c>
      <c r="F25" s="5" t="inlineStr">
        <is>
          <t>6320007912</t>
        </is>
      </c>
      <c r="G25" s="5" t="inlineStr">
        <is>
          <t>1036301088493</t>
        </is>
      </c>
      <c r="H25" s="5" t="inlineStr">
        <is>
          <t>+7 (8482) 32-99-55</t>
        </is>
      </c>
      <c r="I25" s="5" t="inlineStr">
        <is>
          <t>office@vazs.ru, oksana.ermakova@vaz.ru</t>
        </is>
      </c>
      <c r="J25" s="5" t="inlineStr">
        <is>
          <t>http://vazs.ru</t>
        </is>
      </c>
      <c r="K25" s="5" t="inlineStr">
        <is>
          <t>445043, САМАРСКАЯ ОБЛАСТЬ, ТОЛЬЯТТИ, Г. ТОЛЬЯТТИ, Г ТОЛЬЯТТИ, Ш ЮЖНОЕ, Д. 121</t>
        </is>
      </c>
      <c r="L25" s="6" t="n">
        <v>179</v>
      </c>
      <c r="M25" s="6" t="n">
        <v>631906</v>
      </c>
      <c r="N25" s="6" t="n">
        <v>20272</v>
      </c>
      <c r="O25" s="6" t="n">
        <v>67839</v>
      </c>
      <c r="P25" s="5"/>
      <c r="Q25" s="5"/>
    </row>
    <row collapsed="false" customFormat="false" customHeight="false" hidden="false" ht="12.1" outlineLevel="0" r="26">
      <c r="A26" s="4" t="s">
        <f>HYPERLINK("https://www.list-org.com/company/47070","https://www.list-org.com/company/47070")</f>
      </c>
      <c r="B26" s="5" t="inlineStr">
        <is>
          <t>ООО "1520 СИГНАЛ"</t>
        </is>
      </c>
      <c r="C26" s="5" t="inlineStr">
        <is>
          <t>ОБЩЕСТВО С ОГРАНИЧЕННОЙ ОТВЕТСТВЕННОСТЬЮ "1520 СИГНАЛ"</t>
        </is>
      </c>
      <c r="D26" s="5" t="inlineStr">
        <is>
          <t>действующее</t>
        </is>
      </c>
      <c r="E26" s="5" t="inlineStr">
        <is>
          <t>БОРОДИН АНДРЕЙ АНАТОЛЬЕВИЧ</t>
        </is>
      </c>
      <c r="F26" s="5" t="inlineStr">
        <is>
          <t>7716117203</t>
        </is>
      </c>
      <c r="G26" s="5" t="inlineStr">
        <is>
          <t>1027739039624</t>
        </is>
      </c>
      <c r="H26" s="5" t="inlineStr">
        <is>
          <t>+7 (495) 925-53-70</t>
        </is>
      </c>
      <c r="I26" s="5" t="inlineStr">
        <is>
          <t>natalya.gamayunova@1520signal.ru, oksana.kuptsova@1520signal.ru, oxana.kuptsova@1520signal.ru</t>
        </is>
      </c>
      <c r="J26" s="5" t="inlineStr">
        <is>
          <t>http://bombardier.com</t>
        </is>
      </c>
      <c r="K26" s="5" t="inlineStr">
        <is>
          <t>129344, Г.МОСКВА, МУНИЦИПАЛЬНЫЙ ОКРУГ БАБУШКИНСКИЙ, УЛ ЛЁТЧИКА БАБУШКИНА, ВЛД. 1,СТР. 2, СТР. 2</t>
        </is>
      </c>
      <c r="L26" s="6" t="n">
        <v>240</v>
      </c>
      <c r="M26" s="6" t="n">
        <v>6518530</v>
      </c>
      <c r="N26" s="6" t="n">
        <v>205332</v>
      </c>
      <c r="O26" s="6" t="n">
        <v>1223510</v>
      </c>
      <c r="P26" s="5"/>
      <c r="Q26" s="5"/>
    </row>
    <row collapsed="false" customFormat="false" customHeight="false" hidden="false" ht="12.1" outlineLevel="0" r="27">
      <c r="A27" s="4" t="s">
        <f>HYPERLINK("https://www.list-org.com/company/48706","https://www.list-org.com/company/48706")</f>
      </c>
      <c r="B27" s="5" t="inlineStr">
        <is>
          <t>ЗАО "СПЛАЙН-ЦЕНТР"</t>
        </is>
      </c>
      <c r="C27" s="5" t="inlineStr">
        <is>
          <t>ЗАКРЫТОЕ АКЦИОНЕРНОЕ ОБЩЕСТВО "СПЛАЙН-ЦЕНТР"</t>
        </is>
      </c>
      <c r="D27" s="5" t="inlineStr">
        <is>
          <t>действующее</t>
        </is>
      </c>
      <c r="E27" s="5" t="inlineStr">
        <is>
          <t>МОРОЗ СЕРГЕЙ СЕМЕНОВИЧ</t>
        </is>
      </c>
      <c r="F27" s="5" t="inlineStr">
        <is>
          <t>7710250689</t>
        </is>
      </c>
      <c r="G27" s="5" t="inlineStr">
        <is>
          <t>1027739069390</t>
        </is>
      </c>
      <c r="H27" s="5" t="inlineStr">
        <is>
          <t>+7 (495) 755-88-97</t>
        </is>
      </c>
      <c r="I27" s="5" t="inlineStr">
        <is>
          <t>suhova.e@debet.ru, law@debet.ru</t>
        </is>
      </c>
      <c r="J27" s="5" t="inlineStr">
        <is>
          <t>www.debet.ru| сплайн.рф</t>
        </is>
      </c>
      <c r="K27" s="5" t="inlineStr">
        <is>
          <t>105005, Г.МОСКВА, УЛ. БАУМАНСКАЯ, Д.5, СТР.1</t>
        </is>
      </c>
      <c r="L27" s="6" t="n">
        <v>195</v>
      </c>
      <c r="M27" s="6" t="n">
        <v>950484</v>
      </c>
      <c r="N27" s="6" t="n">
        <v>131995</v>
      </c>
      <c r="O27" s="6" t="n">
        <v>24003</v>
      </c>
      <c r="P27" s="5"/>
      <c r="Q27" s="5"/>
    </row>
    <row collapsed="false" customFormat="false" customHeight="false" hidden="false" ht="12.1" outlineLevel="0" r="28">
      <c r="A28" s="4" t="s">
        <f>HYPERLINK("https://www.list-org.com/company/49851","https://www.list-org.com/company/49851")</f>
      </c>
      <c r="B28" s="5" t="inlineStr">
        <is>
          <t>АО "СПАРГО ТЕХНОЛОГИИ"</t>
        </is>
      </c>
      <c r="C28" s="5" t="inlineStr">
        <is>
          <t>АКЦИОНЕРНОЕ ОБЩЕСТВО "СПАРГО ТЕХНОЛОГИИ"</t>
        </is>
      </c>
      <c r="D28" s="5" t="inlineStr">
        <is>
          <t>действующее</t>
        </is>
      </c>
      <c r="E28" s="5" t="inlineStr">
        <is>
          <t>ХЕЧИНАШВИЛИ ГЕОРГИЙ НИКОЛАЕВИЧ</t>
        </is>
      </c>
      <c r="F28" s="5" t="inlineStr">
        <is>
          <t>7722144124</t>
        </is>
      </c>
      <c r="G28" s="5" t="inlineStr">
        <is>
          <t>1037700079240</t>
        </is>
      </c>
      <c r="H28" s="5" t="inlineStr">
        <is>
          <t>+7 (495) 232-41-61</t>
        </is>
      </c>
      <c r="I28" s="5" t="inlineStr">
        <is>
          <t>ea_polikarpova@protek.ru</t>
        </is>
      </c>
      <c r="J28" s="5" t="inlineStr">
        <is>
          <t>www.spargo.ru</t>
        </is>
      </c>
      <c r="K28" s="5" t="inlineStr">
        <is>
          <t>127282, МОСКВА ГОРОД, УЛ. ЧЕРМЯНСКАЯ, Д. 2, СТР. 8</t>
        </is>
      </c>
      <c r="L28" s="6" t="n">
        <v>428</v>
      </c>
      <c r="M28" s="6" t="n">
        <v>975365</v>
      </c>
      <c r="N28" s="6" t="n">
        <v>300153</v>
      </c>
      <c r="O28" s="6" t="n">
        <v>252253</v>
      </c>
      <c r="P28" s="5"/>
      <c r="Q28" s="5"/>
    </row>
    <row collapsed="false" customFormat="false" customHeight="false" hidden="false" ht="12.1" outlineLevel="0" r="29">
      <c r="A29" s="4" t="s">
        <f>HYPERLINK("https://www.list-org.com/company/57942","https://www.list-org.com/company/57942")</f>
      </c>
      <c r="B29" s="5" t="inlineStr">
        <is>
          <t>АО "АСК"</t>
        </is>
      </c>
      <c r="C29" s="5" t="inlineStr">
        <is>
          <t>АКЦИОНЕРНОЕ ОБЩЕСТВО "АВТОМАТИЗИРОВАННЫЕ СИСТЕМЫ И КОМПЛЕКСЫ"</t>
        </is>
      </c>
      <c r="D29" s="5" t="inlineStr">
        <is>
          <t>действующее</t>
        </is>
      </c>
      <c r="E29" s="5" t="inlineStr">
        <is>
          <t>ЗАНЧЕВСКИЙ ВЛАДИМИР ЮРЬЕВИЧ</t>
        </is>
      </c>
      <c r="F29" s="5" t="inlineStr">
        <is>
          <t>6660121309</t>
        </is>
      </c>
      <c r="G29" s="5" t="inlineStr">
        <is>
          <t>1026604939107</t>
        </is>
      </c>
      <c r="H29" s="5" t="inlineStr">
        <is>
          <t>+7 (343) 360-05-01</t>
        </is>
      </c>
      <c r="I29" s="5" t="inlineStr">
        <is>
          <t>asc@asc-ural.ru, shabunina@asc-ural.ru, zanchevskiy_v@asc-ural.ru, ponomarev@asc-ural.ru, shabunina@aasc-ural.ru</t>
        </is>
      </c>
      <c r="J29" s="5" t="inlineStr">
        <is>
          <t>www.asc-ural.ru</t>
        </is>
      </c>
      <c r="K29" s="5" t="inlineStr">
        <is>
          <t>620066, СВЕРДЛОВСКАЯ ОБЛАСТЬ, Г ЕКАТЕРИНБУРГ, УЛ СТУДЕНЧЕСКАЯ, СТР. 1Д</t>
        </is>
      </c>
      <c r="L29" s="6" t="n">
        <v>247</v>
      </c>
      <c r="M29" s="6" t="n">
        <v>2733250</v>
      </c>
      <c r="N29" s="6" t="n">
        <v>344479</v>
      </c>
      <c r="O29" s="6" t="n">
        <v>1287090</v>
      </c>
      <c r="P29" s="5"/>
      <c r="Q29" s="5"/>
    </row>
    <row collapsed="false" customFormat="false" customHeight="false" hidden="false" ht="12.1" outlineLevel="0" r="30">
      <c r="A30" s="4" t="s">
        <f>HYPERLINK("https://www.list-org.com/company/59484","https://www.list-org.com/company/59484")</f>
      </c>
      <c r="B30" s="5" t="inlineStr">
        <is>
          <t>АО "ИНИУС"</t>
        </is>
      </c>
      <c r="C30" s="5" t="inlineStr">
        <is>
          <t>АКЦИОНЕРНОЕ ОБЩЕСТВО "ИНФОРМАЦИОННЫЕ И УПРАВЛЯЮЩИЕ СИСТЕМЫ"</t>
        </is>
      </c>
      <c r="D30" s="5" t="inlineStr">
        <is>
          <t>действующее</t>
        </is>
      </c>
      <c r="E30" s="5" t="inlineStr">
        <is>
          <t>ГИЛЬМАН ЕВГЕНИЙ АБРАМОВИЧ</t>
        </is>
      </c>
      <c r="F30" s="5" t="inlineStr">
        <is>
          <t>6454039137</t>
        </is>
      </c>
      <c r="G30" s="5" t="inlineStr">
        <is>
          <t>1026402654684</t>
        </is>
      </c>
      <c r="H30" s="5" t="inlineStr">
        <is>
          <t>+7 (8452) 45-95-97</t>
        </is>
      </c>
      <c r="I30" s="5" t="inlineStr">
        <is>
          <t>post@inius.ru</t>
        </is>
      </c>
      <c r="J30" s="5" t="inlineStr">
        <is>
          <t>http://inius.ru</t>
        </is>
      </c>
      <c r="K30" s="5" t="inlineStr">
        <is>
          <t>410005, САРАТОВСКАЯ ОБЛАСТЬ, ГОРОД САРАТОВ, Г. САРАТОВ, Г САРАТОВ, УЛ БОЛЬШАЯ ГОРНАЯ, Д. 359В, ОФИС 3</t>
        </is>
      </c>
      <c r="L30" s="6" t="n">
        <v>121</v>
      </c>
      <c r="M30" s="6" t="n">
        <v>163261</v>
      </c>
      <c r="N30" s="6" t="n">
        <v>13658</v>
      </c>
      <c r="O30" s="6" t="n">
        <v>56287</v>
      </c>
      <c r="P30" s="5"/>
      <c r="Q30" s="5"/>
    </row>
    <row collapsed="false" customFormat="false" customHeight="false" hidden="false" ht="12.1" outlineLevel="0" r="31">
      <c r="A31" s="4" t="s">
        <f>HYPERLINK("https://www.list-org.com/company/59901","https://www.list-org.com/company/59901")</f>
      </c>
      <c r="B31" s="5" t="inlineStr">
        <is>
          <t>АО "КОМИТА"</t>
        </is>
      </c>
      <c r="C31" s="5" t="inlineStr">
        <is>
          <t>АКЦИОНЕРНОЕ ОБЩЕСТВО "КОМИТА"</t>
        </is>
      </c>
      <c r="D31" s="5" t="inlineStr">
        <is>
          <t>действующее</t>
        </is>
      </c>
      <c r="E31" s="5" t="inlineStr">
        <is>
          <t>ФЕДЬКОВ ЕВГЕНИЙ АЛЕКСАНДРОВИЧ</t>
        </is>
      </c>
      <c r="F31" s="5" t="inlineStr">
        <is>
          <t>7813061041</t>
        </is>
      </c>
      <c r="G31" s="5" t="inlineStr">
        <is>
          <t>1037828004796</t>
        </is>
      </c>
      <c r="H31" s="5" t="inlineStr">
        <is>
          <t>+7 (812) 528-34-66</t>
        </is>
      </c>
      <c r="I31" s="5" t="inlineStr">
        <is>
          <t>marysya.76@yandex.ru, comita1991@yandex.ru</t>
        </is>
      </c>
      <c r="J31" s="5" t="inlineStr">
        <is>
          <t>www.comita.ru</t>
        </is>
      </c>
      <c r="K31" s="5" t="inlineStr">
        <is>
          <t>197101, Г.САНКТ-ПЕТЕРБУРГ, УЛ. РЕНТГЕНА, Д.1</t>
        </is>
      </c>
      <c r="L31" s="6" t="n">
        <v>185</v>
      </c>
      <c r="M31" s="6" t="n">
        <v>415175</v>
      </c>
      <c r="N31" s="6" t="n">
        <v>946</v>
      </c>
      <c r="O31" s="6" t="n">
        <v>168310</v>
      </c>
      <c r="P31" s="5"/>
      <c r="Q31" s="5"/>
    </row>
    <row collapsed="false" customFormat="false" customHeight="false" hidden="false" ht="12.1" outlineLevel="0" r="32">
      <c r="A32" s="4" t="s">
        <f>HYPERLINK("https://www.list-org.com/company/60094","https://www.list-org.com/company/60094")</f>
      </c>
      <c r="B32" s="5" t="inlineStr">
        <is>
          <t>АО "КОНСОМ СКС"</t>
        </is>
      </c>
      <c r="C32" s="5" t="inlineStr">
        <is>
          <t>АКЦИОНЕРНОЕ ОБЩЕСТВО "КОНСОМ СКС"</t>
        </is>
      </c>
      <c r="D32" s="5" t="inlineStr">
        <is>
          <t>действующее</t>
        </is>
      </c>
      <c r="E32" s="5" t="inlineStr">
        <is>
          <t>ДРАГУНОВ БОРИС ВЛАДИМИРОВИЧ</t>
        </is>
      </c>
      <c r="F32" s="5" t="inlineStr">
        <is>
          <t>7445015325</t>
        </is>
      </c>
      <c r="G32" s="5" t="inlineStr">
        <is>
          <t>1027402173050</t>
        </is>
      </c>
      <c r="H32" s="5" t="inlineStr">
        <is>
          <t>+7 (3519) 27-23-88</t>
        </is>
      </c>
      <c r="I32" s="5" t="inlineStr">
        <is>
          <t>zabrodskaya.e@konsom.ru, info@konsom.ru</t>
        </is>
      </c>
      <c r="J32" s="5" t="inlineStr">
        <is>
          <t>www.konsom.ru</t>
        </is>
      </c>
      <c r="K32" s="5" t="inlineStr">
        <is>
          <t>455034, ЧЕЛЯБИНСКАЯ ОБЛАСТЬ, Г. МАГНИТОГОРСК, УЛ. ЖУКОВА, Д.13</t>
        </is>
      </c>
      <c r="L32" s="6" t="n">
        <v>166</v>
      </c>
      <c r="M32" s="6" t="n">
        <v>1104730</v>
      </c>
      <c r="N32" s="6" t="n">
        <v>83821</v>
      </c>
      <c r="O32" s="6" t="n">
        <v>466793</v>
      </c>
      <c r="P32" s="5"/>
      <c r="Q32" s="5"/>
    </row>
    <row collapsed="false" customFormat="false" customHeight="false" hidden="false" ht="12.1" outlineLevel="0" r="33">
      <c r="A33" s="4" t="s">
        <f>HYPERLINK("https://www.list-org.com/company/61164","https://www.list-org.com/company/61164")</f>
      </c>
      <c r="B33" s="5" t="inlineStr">
        <is>
          <t>АО "НОВАЯ АФИНА"</t>
        </is>
      </c>
      <c r="C33" s="5" t="inlineStr">
        <is>
          <t>АКЦИОНЕРНОЕ ОБЩЕСТВО "НОВАЯ АФИНА"</t>
        </is>
      </c>
      <c r="D33" s="5" t="inlineStr">
        <is>
          <t>действующее</t>
        </is>
      </c>
      <c r="E33" s="5" t="inlineStr">
        <is>
          <t>ЛЯШКОВ АЛЕКСАНДР АНАТОЛЬЕВИЧ</t>
        </is>
      </c>
      <c r="F33" s="5" t="inlineStr">
        <is>
          <t>7722159459</t>
        </is>
      </c>
      <c r="G33" s="5" t="inlineStr">
        <is>
          <t>1027739061371</t>
        </is>
      </c>
      <c r="H33" s="5" t="inlineStr">
        <is>
          <t>+7 (495) 232-00-50</t>
        </is>
      </c>
      <c r="I33" s="5" t="inlineStr">
        <is>
          <t>info@newathena.ru, moi@prbank.ru, support@prbank.ru</t>
        </is>
      </c>
      <c r="J33" s="5" t="inlineStr">
        <is>
          <t>www.newathena.ru</t>
        </is>
      </c>
      <c r="K33" s="5" t="inlineStr">
        <is>
          <t>127473, Г.МОСКВА, МУНИЦИПАЛЬНЫЙ ОКРУГ ТВЕРСКОЙ, УЛ СЕЛЕЗНЕВСКАЯ, Д. 22, ПОМЕЩ. 4/Т</t>
        </is>
      </c>
      <c r="L33" s="6" t="n">
        <v>157</v>
      </c>
      <c r="M33" s="6" t="n">
        <v>1030560</v>
      </c>
      <c r="N33" s="6" t="n">
        <v>146755</v>
      </c>
      <c r="O33" s="6" t="n">
        <v>363571</v>
      </c>
      <c r="P33" s="5"/>
      <c r="Q33" s="5"/>
    </row>
    <row collapsed="false" customFormat="false" customHeight="false" hidden="false" ht="12.1" outlineLevel="0" r="34">
      <c r="A34" s="4" t="s">
        <f>HYPERLINK("https://www.list-org.com/company/65058","https://www.list-org.com/company/65058")</f>
      </c>
      <c r="B34" s="5" t="inlineStr">
        <is>
          <t>АО "ЭМИКОН"</t>
        </is>
      </c>
      <c r="C34" s="5" t="inlineStr">
        <is>
          <t>АКЦИОНЕРНОЕ ОБЩЕСТВО "ЭМИКОН"</t>
        </is>
      </c>
      <c r="D34" s="5" t="inlineStr">
        <is>
          <t>действующее</t>
        </is>
      </c>
      <c r="E34" s="5" t="inlineStr">
        <is>
          <t>АЛЕКСЕЕВ АЛЕКСЕЙ АЛЕКСАНДРОВИЧ</t>
        </is>
      </c>
      <c r="F34" s="5" t="inlineStr">
        <is>
          <t>7726037300</t>
        </is>
      </c>
      <c r="G34" s="5" t="inlineStr">
        <is>
          <t>1027739678218</t>
        </is>
      </c>
      <c r="H34" s="5" t="inlineStr">
        <is>
          <t>+7 (495) 460-38-44</t>
        </is>
      </c>
      <c r="I34" s="5" t="inlineStr">
        <is>
          <t>account@emicon.ru, emicon@dol.ru, emicon@emicon.ru, emikon@dol.ru</t>
        </is>
      </c>
      <c r="J34" s="5" t="inlineStr">
        <is>
          <t>www.emicon.ru</t>
        </is>
      </c>
      <c r="K34" s="5" t="inlineStr">
        <is>
          <t>107207, МОСКВА ГОРОД, Ш. ЩЁЛКОВСКОЕ, Д.77</t>
        </is>
      </c>
      <c r="L34" s="6" t="n">
        <v>152</v>
      </c>
      <c r="M34" s="6" t="n">
        <v>1793540</v>
      </c>
      <c r="N34" s="6" t="n">
        <v>333206</v>
      </c>
      <c r="O34" s="6" t="n">
        <v>1283210</v>
      </c>
      <c r="P34" s="5"/>
      <c r="Q34" s="5"/>
    </row>
    <row collapsed="false" customFormat="false" customHeight="false" hidden="false" ht="12.1" outlineLevel="0" r="35">
      <c r="A35" s="4" t="s">
        <f>HYPERLINK("https://www.list-org.com/company/67230","https://www.list-org.com/company/67230")</f>
      </c>
      <c r="B35" s="5" t="inlineStr">
        <is>
          <t>АО "СУПЕРТЕЛ"</t>
        </is>
      </c>
      <c r="C35" s="5" t="inlineStr">
        <is>
          <t>АКЦИОНЕРНОЕ ОБЩЕСТВО "СУПЕРТЕЛ"</t>
        </is>
      </c>
      <c r="D35" s="5" t="inlineStr">
        <is>
          <t>действующее</t>
        </is>
      </c>
      <c r="E35" s="5" t="inlineStr">
        <is>
          <t>ЛУКИН КОНСТАНТИН ИГОРЕВИЧ</t>
        </is>
      </c>
      <c r="F35" s="5" t="inlineStr">
        <is>
          <t>7809014190</t>
        </is>
      </c>
      <c r="G35" s="5" t="inlineStr">
        <is>
          <t>1027810255505</t>
        </is>
      </c>
      <c r="H35" s="5" t="inlineStr">
        <is>
          <t>+7 (812) 232-73-21</t>
        </is>
      </c>
      <c r="I35" s="5" t="inlineStr">
        <is>
          <t>buhoao@supertel.ru, info@supertel.ru</t>
        </is>
      </c>
      <c r="J35" s="5" t="inlineStr">
        <is>
          <t>www.supertel.ru</t>
        </is>
      </c>
      <c r="K35" s="5" t="inlineStr">
        <is>
          <t>197046, Г.Санкт-Петербург, ВНУТРИГОРОДСКАЯ ТЕРРИТОРИЯ ГОРОДА ФЕДЕРАЛЬНОГО ЗНАЧЕНИЯ МУНИЦИПАЛЬНЫЙ ОКРУГ ПОСАДСКИЙ, НАБ ПЕТРОГРАДСКАЯ, Д. 38</t>
        </is>
      </c>
      <c r="L35" s="6" t="n">
        <v>185</v>
      </c>
      <c r="M35" s="6" t="n">
        <v>2433180</v>
      </c>
      <c r="N35" s="6" t="n">
        <v>196107</v>
      </c>
      <c r="O35" s="6" t="n">
        <v>1765160</v>
      </c>
      <c r="P35" s="5"/>
      <c r="Q35" s="5"/>
    </row>
    <row collapsed="false" customFormat="false" customHeight="false" hidden="false" ht="12.1" outlineLevel="0" r="36">
      <c r="A36" s="4" t="s">
        <f>HYPERLINK("https://www.list-org.com/company/67513","https://www.list-org.com/company/67513")</f>
      </c>
      <c r="B36" s="5" t="inlineStr">
        <is>
          <t>АО "ЭЛВИС-ПЛЮС"</t>
        </is>
      </c>
      <c r="C36" s="5" t="inlineStr">
        <is>
          <t>АКЦИОНЕРНОЕ ОБЩЕСТВО "ЭЛВИС-ПЛЮС"</t>
        </is>
      </c>
      <c r="D36" s="5" t="inlineStr">
        <is>
          <t>действующее</t>
        </is>
      </c>
      <c r="E36" s="5" t="inlineStr">
        <is>
          <t>ХАЙРУЛЛОВ РУСЛАН ФАИЛЬЕВИЧ</t>
        </is>
      </c>
      <c r="F36" s="5" t="inlineStr">
        <is>
          <t>7735003794</t>
        </is>
      </c>
      <c r="G36" s="5" t="inlineStr">
        <is>
          <t>1037739190708</t>
        </is>
      </c>
      <c r="H36" s="5" t="inlineStr">
        <is>
          <t>+7 (495) 777-42-90</t>
        </is>
      </c>
      <c r="I36" s="5" t="inlineStr">
        <is>
          <t>info@elvis.ru</t>
        </is>
      </c>
      <c r="J36" s="5" t="inlineStr">
        <is>
          <t>http://elvis.ru</t>
        </is>
      </c>
      <c r="K36" s="5" t="inlineStr">
        <is>
          <t>124527, МОСКВА ГОРОД, ГОРОД ЗЕЛЕНОГРАД, АЛЛЕЯ СОЛНЕЧНАЯ, Д. 6, ПОМЕЩ. VI ОФИС 7</t>
        </is>
      </c>
      <c r="L36" s="6" t="n">
        <v>134</v>
      </c>
      <c r="M36" s="6" t="n">
        <v>1030230</v>
      </c>
      <c r="N36" s="6" t="n">
        <v>22260</v>
      </c>
      <c r="O36" s="6" t="n">
        <v>373265</v>
      </c>
      <c r="P36" s="5"/>
      <c r="Q36" s="5"/>
    </row>
    <row collapsed="false" customFormat="false" customHeight="false" hidden="false" ht="12.1" outlineLevel="0" r="37">
      <c r="A37" s="4" t="s">
        <f>HYPERLINK("https://www.list-org.com/company/67520","https://www.list-org.com/company/67520")</f>
      </c>
      <c r="B37" s="5" t="inlineStr">
        <is>
          <t>АО "ЭЛЕКТРОННАЯ МОСКВА"</t>
        </is>
      </c>
      <c r="C37" s="5" t="inlineStr">
        <is>
          <t>АКЦИОНЕРНОЕ ОБЩЕСТВО "ЭЛЕКТРОННАЯ МОСКВА"</t>
        </is>
      </c>
      <c r="D37" s="5" t="inlineStr">
        <is>
          <t>действующее</t>
        </is>
      </c>
      <c r="E37" s="5" t="inlineStr">
        <is>
          <t>ЖИГАЛИН АЛЕКСАНДР АЛЕКСЕЕВИЧ</t>
        </is>
      </c>
      <c r="F37" s="5" t="inlineStr">
        <is>
          <t>7707314029</t>
        </is>
      </c>
      <c r="G37" s="5" t="inlineStr">
        <is>
          <t>1027707013806</t>
        </is>
      </c>
      <c r="H37" s="5" t="inlineStr">
        <is>
          <t>+7 (495) 988-22-70</t>
        </is>
      </c>
      <c r="I37" s="5" t="inlineStr">
        <is>
          <t>astapova@em.mos.ru, e-moskva@e-moskva.ru, granovskiy@em.mos.ru, grushetskaya@em.mos.ru, gugkaeva@em, zakupki@em.mos.ru</t>
        </is>
      </c>
      <c r="J37" s="5" t="inlineStr">
        <is>
          <t>seldon.ru</t>
        </is>
      </c>
      <c r="K37" s="5" t="inlineStr">
        <is>
          <t>105064, Г.МОСКВА, МУНИЦИПАЛЬНЫЙ ОКРУГ БАСМАННЫЙ, ПЕР НИЖНИЙ СУСАЛЬНЫЙ, Д. 5,СТР. 19, СТР. 19, ЭТАЖ/ПОМЕЩ./КОМ. А1/Х/1</t>
        </is>
      </c>
      <c r="L37" s="6" t="n">
        <v>172</v>
      </c>
      <c r="M37" s="6" t="n">
        <v>566376</v>
      </c>
      <c r="N37" s="6" t="n">
        <v>105225</v>
      </c>
      <c r="O37" s="6" t="n">
        <v>1755760</v>
      </c>
      <c r="P37" s="5"/>
      <c r="Q37" s="5"/>
    </row>
    <row collapsed="false" customFormat="false" customHeight="false" hidden="false" ht="12.1" outlineLevel="0" r="38">
      <c r="A38" s="4" t="s">
        <f>HYPERLINK("https://www.list-org.com/company/75254","https://www.list-org.com/company/75254")</f>
      </c>
      <c r="B38" s="5" t="inlineStr">
        <is>
          <t>ООО "ИК Ю-СОФТ"</t>
        </is>
      </c>
      <c r="C38" s="5" t="inlineStr">
        <is>
          <t>ОБЩЕСТВО С ОГРАНИЧЕННОЙ ОТВЕТСТВЕННОСТЬЮ "ИНФОРМАЦИОННО-СЕРВИСНАЯ КОМПАНИЯ Ю-СОФТ"</t>
        </is>
      </c>
      <c r="D38" s="5" t="inlineStr">
        <is>
          <t>действующее</t>
        </is>
      </c>
      <c r="E38" s="5" t="inlineStr">
        <is>
          <t>ПЕТРАКОВ НИКОЛАЙ СЕРГЕЕВИЧ</t>
        </is>
      </c>
      <c r="F38" s="5" t="inlineStr">
        <is>
          <t>7718129300</t>
        </is>
      </c>
      <c r="G38" s="5" t="inlineStr">
        <is>
          <t>1027739097540</t>
        </is>
      </c>
      <c r="H38" s="5" t="inlineStr">
        <is>
          <t>+7 (495) 974-00-34</t>
        </is>
      </c>
      <c r="I38" s="5" t="inlineStr">
        <is>
          <t>petrakov@usoft.ru, smirnova_na@usoft.ru, smolikova@usoft.ru</t>
        </is>
      </c>
      <c r="J38" s="5" t="inlineStr">
        <is>
          <t>www.usoft.ru</t>
        </is>
      </c>
      <c r="K38" s="5" t="inlineStr">
        <is>
          <t>107589, Г.Москва, ВНУТРИГОРОДСКАЯ ТЕРРИТОРИЯ ГОРОДА ФЕДЕРАЛЬНОГО ЗНАЧЕНИЯ МУНИЦИПАЛЬНЫЙ ОКРУГ ГОЛЬЯНОВО, УЛ КРАСНОЯРСКАЯ, Д. 17, ПОМЕЩ. 15/1</t>
        </is>
      </c>
      <c r="L38" s="6" t="n">
        <v>210</v>
      </c>
      <c r="M38" s="6" t="n">
        <v>1140900</v>
      </c>
      <c r="N38" s="6" t="n">
        <v>132101</v>
      </c>
      <c r="O38" s="6" t="n">
        <v>172959</v>
      </c>
      <c r="P38" s="5"/>
      <c r="Q38" s="5"/>
    </row>
    <row collapsed="false" customFormat="false" customHeight="false" hidden="false" ht="12.1" outlineLevel="0" r="39">
      <c r="A39" s="4" t="s">
        <f>HYPERLINK("https://www.list-org.com/company/75535","https://www.list-org.com/company/75535")</f>
      </c>
      <c r="B39" s="5" t="inlineStr">
        <is>
          <t>ООО "ИндаСофт"</t>
        </is>
      </c>
      <c r="C39" s="5" t="inlineStr">
        <is>
          <t>ОБЩЕСТВО С ОГРАНИЧЕННОЙ ОТВЕТСТВЕННОСТЬЮ" ИНДАСОФТ"</t>
        </is>
      </c>
      <c r="D39" s="5" t="inlineStr">
        <is>
          <t>действующее</t>
        </is>
      </c>
      <c r="E39" s="5" t="inlineStr">
        <is>
          <t>СЮЧ ЭРНЕСТ ОЛЕГОВИЧ</t>
        </is>
      </c>
      <c r="F39" s="5" t="inlineStr">
        <is>
          <t>7721103816</t>
        </is>
      </c>
      <c r="G39" s="5" t="inlineStr">
        <is>
          <t>1027739121937</t>
        </is>
      </c>
      <c r="H39" s="5" t="inlineStr">
        <is>
          <t>+7 (499) 300-99-87</t>
        </is>
      </c>
      <c r="I39" s="5" t="inlineStr">
        <is>
          <t>info@indusoft.ru</t>
        </is>
      </c>
      <c r="J39" s="5" t="inlineStr">
        <is>
          <t>www.indusoft.ru</t>
        </is>
      </c>
      <c r="K39" s="5" t="inlineStr">
        <is>
          <t>109202, МОСКВА ГОРОД, Ш. ПЕРОВСКОЕ, Д.9, СТР.1, КОМН.104</t>
        </is>
      </c>
      <c r="L39" s="6" t="n">
        <v>230</v>
      </c>
      <c r="M39" s="6" t="n">
        <v>1071150</v>
      </c>
      <c r="N39" s="6" t="n">
        <v>49644</v>
      </c>
      <c r="O39" s="6" t="n">
        <v>183016</v>
      </c>
      <c r="P39" s="5"/>
      <c r="Q39" s="5"/>
    </row>
    <row collapsed="false" customFormat="false" customHeight="false" hidden="false" ht="12.1" outlineLevel="0" r="40">
      <c r="A40" s="4" t="s">
        <f>HYPERLINK("https://www.list-org.com/company/78125","https://www.list-org.com/company/78125")</f>
      </c>
      <c r="B40" s="5" t="inlineStr">
        <is>
          <t>ООО "КРИПТО-ПРО"</t>
        </is>
      </c>
      <c r="C40" s="5" t="inlineStr">
        <is>
          <t>ОБЩЕСТВО С ОГРАНИЧЕННОЙ ОТВЕТСТВЕННОСТЬЮ "КРИПТО-ПРО"</t>
        </is>
      </c>
      <c r="D40" s="5" t="inlineStr">
        <is>
          <t>действующее</t>
        </is>
      </c>
      <c r="E40" s="5" t="inlineStr">
        <is>
          <t>СМЫШЛЯЕВ СТАНИСЛАВ ВИТАЛЬЕВИЧ</t>
        </is>
      </c>
      <c r="F40" s="5" t="inlineStr">
        <is>
          <t>7717107991</t>
        </is>
      </c>
      <c r="G40" s="5" t="inlineStr">
        <is>
          <t>1037700085444</t>
        </is>
      </c>
      <c r="H40" s="5" t="inlineStr">
        <is>
          <t>+7 (495) 780-48-20</t>
        </is>
      </c>
      <c r="I40" s="5" t="inlineStr">
        <is>
          <t>buh@crypotopro.ru, ksv@cryptopro.ru</t>
        </is>
      </c>
      <c r="J40" s="5" t="inlineStr">
        <is>
          <t>www.cryptopro.ru</t>
        </is>
      </c>
      <c r="K40" s="5" t="inlineStr">
        <is>
          <t>105037, Г.МОСКВА, МУНИЦИПАЛЬНЫЙ ОКРУГ ИЗМАЙЛОВО, ПРОЕЗД ИЗМАЙЛОВСКИЙ, Д. 10, К. 2, ПОМЕЩ. 4/1</t>
        </is>
      </c>
      <c r="L40" s="6" t="n">
        <v>153</v>
      </c>
      <c r="M40" s="6" t="n">
        <v>3514300</v>
      </c>
      <c r="N40" s="6" t="n">
        <v>1818310</v>
      </c>
      <c r="O40" s="6" t="n">
        <v>707949</v>
      </c>
      <c r="P40" s="5"/>
      <c r="Q40" s="5"/>
    </row>
    <row collapsed="false" customFormat="false" customHeight="false" hidden="false" ht="12.1" outlineLevel="0" r="41">
      <c r="A41" s="4" t="s">
        <f>HYPERLINK("https://www.list-org.com/company/78598","https://www.list-org.com/company/78598")</f>
      </c>
      <c r="B41" s="5" t="inlineStr">
        <is>
          <t>ООО "ЛАН-ПРОЕКТ"</t>
        </is>
      </c>
      <c r="C41" s="5" t="inlineStr">
        <is>
          <t>ОБЩЕСТВО С ОГРАНИЧЕННОЙ ОТВЕТСТВЕННОСТЬЮ "ЛАН-ПРОЕКТ"</t>
        </is>
      </c>
      <c r="D41" s="5" t="inlineStr">
        <is>
          <t>действующее</t>
        </is>
      </c>
      <c r="E41" s="5" t="inlineStr">
        <is>
          <t>ГОЛЯНДИНА ЕЛЕНА БОРИСОВНА</t>
        </is>
      </c>
      <c r="F41" s="5" t="inlineStr">
        <is>
          <t>7723171378</t>
        </is>
      </c>
      <c r="G41" s="5" t="inlineStr">
        <is>
          <t>1027739737178</t>
        </is>
      </c>
      <c r="H41" s="5" t="inlineStr">
        <is>
          <t>+7 (495) 540-12-75</t>
        </is>
      </c>
      <c r="I41" s="5" t="inlineStr">
        <is>
          <t>7723171378_772301001@eo.tensor.ru, compani@lan-project.ru, company@lan-project.ru, lenas@lan-project.ru, sbelkina@lan-project.ru</t>
        </is>
      </c>
      <c r="J41" s="5" t="inlineStr">
        <is>
          <t>http://lan-project.ru</t>
        </is>
      </c>
      <c r="K41" s="5" t="inlineStr">
        <is>
          <t>123103, МОСКВА ГОРОД, ПР-КТ МАРШАЛА ЖУКОВА, Д. 74, К. 1</t>
        </is>
      </c>
      <c r="L41" s="6" t="n">
        <v>176</v>
      </c>
      <c r="M41" s="6" t="n">
        <v>1696260</v>
      </c>
      <c r="N41" s="6" t="n">
        <v>79410</v>
      </c>
      <c r="O41" s="6" t="n">
        <v>396439</v>
      </c>
      <c r="P41" s="5"/>
      <c r="Q41" s="5"/>
    </row>
    <row collapsed="false" customFormat="false" customHeight="false" hidden="false" ht="12.1" outlineLevel="0" r="42">
      <c r="A42" s="4" t="s">
        <f>HYPERLINK("https://www.list-org.com/company/82002","https://www.list-org.com/company/82002")</f>
      </c>
      <c r="B42" s="5" t="inlineStr">
        <is>
          <t>ООО "НТЦ ГАЛЭКС"</t>
        </is>
      </c>
      <c r="C42" s="5" t="inlineStr">
        <is>
          <t>ОБЩЕСТВО С ОГРАНИЧЕННОЙ ОТВЕТСТВЕННОСТЬЮ "НАУЧНО-ТЕХНИЧЕСКИЙ ЦЕНТР ГАЛЭКС"</t>
        </is>
      </c>
      <c r="D42" s="5" t="inlineStr">
        <is>
          <t>действующее</t>
        </is>
      </c>
      <c r="E42" s="5" t="inlineStr">
        <is>
          <t>ГРАФЕЕВ ВЛАДИМИР АЛФИЕВИЧ</t>
        </is>
      </c>
      <c r="F42" s="5" t="inlineStr">
        <is>
          <t>2225013891</t>
        </is>
      </c>
      <c r="G42" s="5" t="inlineStr">
        <is>
          <t>1022201760910</t>
        </is>
      </c>
      <c r="H42" s="5" t="inlineStr">
        <is>
          <t>+7 (3852) 65-37-84</t>
        </is>
      </c>
      <c r="I42" s="5" t="inlineStr">
        <is>
          <t>tatyana_rachyova@galex.ru, info@galex.ru</t>
        </is>
      </c>
      <c r="J42" s="5" t="inlineStr">
        <is>
          <t>www.galex.ru</t>
        </is>
      </c>
      <c r="K42" s="5" t="inlineStr">
        <is>
          <t>656056, АЛТАЙСКИЙ КРАЙ, Г. БАРНАУЛ, ПЛ. ИМ В.Н.БАВАРИНА, Д. 2</t>
        </is>
      </c>
      <c r="L42" s="6" t="n">
        <v>135</v>
      </c>
      <c r="M42" s="6" t="n">
        <v>1328150</v>
      </c>
      <c r="N42" s="6" t="n">
        <v>87214</v>
      </c>
      <c r="O42" s="6" t="n">
        <v>210416</v>
      </c>
      <c r="P42" s="5"/>
      <c r="Q42" s="5"/>
    </row>
    <row collapsed="false" customFormat="false" customHeight="false" hidden="false" ht="12.1" outlineLevel="0" r="43">
      <c r="A43" s="4" t="s">
        <f>HYPERLINK("https://www.list-org.com/company/83681","https://www.list-org.com/company/83681")</f>
      </c>
      <c r="B43" s="5" t="inlineStr">
        <is>
          <t>ООО "ПРАЙМ ГРУП"</t>
        </is>
      </c>
      <c r="C43" s="5" t="inlineStr">
        <is>
          <t>ОБЩЕСТВО С ОГРАНИЧЕННОЙ ОТВЕТСТВЕННОСТЬЮ "ПРАЙМ ГРУП"</t>
        </is>
      </c>
      <c r="D43" s="5" t="inlineStr">
        <is>
          <t>действующее</t>
        </is>
      </c>
      <c r="E43" s="5" t="inlineStr">
        <is>
          <t>ЛУКИЧЕВ МАКСИМ ИГОРЕВИЧ</t>
        </is>
      </c>
      <c r="F43" s="5" t="inlineStr">
        <is>
          <t>7728181563</t>
        </is>
      </c>
      <c r="G43" s="5" t="inlineStr">
        <is>
          <t>1037700120765</t>
        </is>
      </c>
      <c r="H43" s="5" t="inlineStr">
        <is>
          <t>+7 (495) 725-44-32</t>
        </is>
      </c>
      <c r="I43" s="5" t="inlineStr">
        <is>
          <t>nivantsova@primegroup.ru, senkina@primegroup.ru</t>
        </is>
      </c>
      <c r="J43" s="5" t="inlineStr">
        <is>
          <t>www.primegroup.ru</t>
        </is>
      </c>
      <c r="K43" s="5" t="inlineStr">
        <is>
          <t>143409, МОСКОВСКАЯ ОБЛАСТЬ, Г. КРАСНОГОРСК, УЛ. УСПЕНСКАЯ, Д. 3, ПОМ/ЭТ/ОФ I/4/415</t>
        </is>
      </c>
      <c r="L43" s="6" t="n">
        <v>100</v>
      </c>
      <c r="M43" s="6" t="n">
        <v>9376290</v>
      </c>
      <c r="N43" s="6" t="n">
        <v>281466</v>
      </c>
      <c r="O43" s="6" t="n">
        <v>1075430</v>
      </c>
      <c r="P43" s="5"/>
      <c r="Q43" s="5"/>
    </row>
    <row collapsed="false" customFormat="false" customHeight="false" hidden="false" ht="12.1" outlineLevel="0" r="44">
      <c r="A44" s="4" t="s">
        <f>HYPERLINK("https://www.list-org.com/company/94230","https://www.list-org.com/company/94230")</f>
      </c>
      <c r="B44" s="5" t="inlineStr">
        <is>
          <t>ООО "ЦРТ"</t>
        </is>
      </c>
      <c r="C44" s="5" t="inlineStr">
        <is>
          <t>ОБЩЕСТВО С ОГРАНИЧЕННОЙ ОТВЕТСТВЕННОСТЬЮ "ЦЕНТР РЕЧЕВЫХ ТЕХНОЛОГИЙ"</t>
        </is>
      </c>
      <c r="D44" s="5" t="inlineStr">
        <is>
          <t>действующее</t>
        </is>
      </c>
      <c r="E44" s="5" t="inlineStr">
        <is>
          <t>ДЫРМОВСКИЙ ДМИТРИЙ ВИКТОРОВИЧ</t>
        </is>
      </c>
      <c r="F44" s="5" t="inlineStr">
        <is>
          <t>7805093681</t>
        </is>
      </c>
      <c r="G44" s="5" t="inlineStr">
        <is>
          <t>1027810243295</t>
        </is>
      </c>
      <c r="H44" s="5" t="inlineStr">
        <is>
          <t>+7 (812) 325-88-48</t>
        </is>
      </c>
      <c r="I44" s="5" t="inlineStr">
        <is>
          <t>kopteva@speechpro.com, mikhaylova-e@speechpro.com, gileva-r@speechpro.com</t>
        </is>
      </c>
      <c r="J44" s="5" t="inlineStr">
        <is>
          <t>https://speechpro.com</t>
        </is>
      </c>
      <c r="K44" s="5" t="inlineStr">
        <is>
          <t>194044, САНКТ-ПЕТЕРБУРГ ГОРОД, НАБЕРЕЖНАЯ ВЫБОРГСКАЯ, Д. 45, ЛИТЕР Е, ПОМ. 1-Н</t>
        </is>
      </c>
      <c r="L44" s="6" t="n">
        <v>337</v>
      </c>
      <c r="M44" s="6" t="n">
        <v>2798510</v>
      </c>
      <c r="N44" s="6" t="n">
        <v>154143</v>
      </c>
      <c r="O44" s="6" t="n">
        <v>1953970</v>
      </c>
      <c r="P44" s="5"/>
      <c r="Q44" s="5"/>
    </row>
    <row collapsed="false" customFormat="false" customHeight="false" hidden="false" ht="12.1" outlineLevel="0" r="45">
      <c r="A45" s="4" t="s">
        <f>HYPERLINK("https://www.list-org.com/company/96256","https://www.list-org.com/company/96256")</f>
      </c>
      <c r="B45" s="5" t="inlineStr">
        <is>
          <t>ООО ВФ "ЭЛНА"</t>
        </is>
      </c>
      <c r="C45" s="5" t="inlineStr">
        <is>
          <t>ОБЩЕСТВО С ОГРАНИЧЕННОЙ ОТВЕТСТВЕННОСТЬЮ ВНЕДРЕНЧЕСКАЯ ФИРМА "ЭЛНА"</t>
        </is>
      </c>
      <c r="D45" s="5" t="inlineStr">
        <is>
          <t>действующее</t>
        </is>
      </c>
      <c r="E45" s="5" t="inlineStr">
        <is>
          <t>КРИВОШЕЕВ ДМИТРИЙ ВАЛЕРЬЕВИЧ</t>
        </is>
      </c>
      <c r="F45" s="5" t="inlineStr">
        <is>
          <t>7718064370</t>
        </is>
      </c>
      <c r="G45" s="5" t="inlineStr">
        <is>
          <t>1037739335534</t>
        </is>
      </c>
      <c r="H45" s="5" t="inlineStr">
        <is>
          <t>+7 (495) 198-75-61</t>
        </is>
      </c>
      <c r="I45" s="5" t="inlineStr">
        <is>
          <t>buh@elnavf.ru, bux@elnavf.ru, d.krivosheev@elnavf.ru, info@elnavf.ru, o.rybin@elnavf.ru</t>
        </is>
      </c>
      <c r="J45" s="5" t="inlineStr">
        <is>
          <t>http://elnavf.ru</t>
        </is>
      </c>
      <c r="K45" s="5" t="inlineStr">
        <is>
          <t>123290, Г.Москва, ВНУТРИГОРОДСКАЯ ТЕРРИТОРИЯ ГОРОДА ФЕДЕРАЛЬНОГО ЗНАЧЕНИЯ МУНИЦИПАЛЬНЫЙ ОКРУГ ХОРОШЕВСКИЙ, ТУП 1-Й МАГИСТРАЛЬНЫЙ, Д. 5А, БЛОК С, ЭТАЖ 4 ОФИС 402</t>
        </is>
      </c>
      <c r="L45" s="6" t="n">
        <v>144</v>
      </c>
      <c r="M45" s="6" t="n">
        <v>5141110</v>
      </c>
      <c r="N45" s="6" t="n">
        <v>84918</v>
      </c>
      <c r="O45" s="6" t="n">
        <v>289175</v>
      </c>
      <c r="P45" s="5"/>
      <c r="Q45" s="5"/>
    </row>
    <row collapsed="false" customFormat="false" customHeight="false" hidden="false" ht="12.1" outlineLevel="0" r="46">
      <c r="A46" s="4" t="s">
        <f>HYPERLINK("https://www.list-org.com/company/96557","https://www.list-org.com/company/96557")</f>
      </c>
      <c r="B46" s="5" t="inlineStr">
        <is>
          <t>ООО НПК "КАТАРСИС"</t>
        </is>
      </c>
      <c r="C46" s="5" t="inlineStr">
        <is>
          <t>Общество с ограниченной ответственностью Научно-производственная компания "КАТАРСИС"</t>
        </is>
      </c>
      <c r="D46" s="5" t="inlineStr">
        <is>
          <t>действующее</t>
        </is>
      </c>
      <c r="E46" s="5" t="inlineStr">
        <is>
          <t>ДРОБОТЕНКО АНДРЕЙ ВИТАЛЬЕВИЧ</t>
        </is>
      </c>
      <c r="F46" s="5" t="inlineStr">
        <is>
          <t>7825103271</t>
        </is>
      </c>
      <c r="G46" s="5" t="inlineStr">
        <is>
          <t>1027809204323</t>
        </is>
      </c>
      <c r="H46" s="5" t="inlineStr">
        <is>
          <t>+7 (812) 380-80-20</t>
        </is>
      </c>
      <c r="I46" s="5" t="inlineStr">
        <is>
          <t>lidia@katharsis.ru, kts@katharsis.ru</t>
        </is>
      </c>
      <c r="J46" s="5" t="inlineStr">
        <is>
          <t>http://katharsis.ru</t>
        </is>
      </c>
      <c r="K46" s="5" t="inlineStr">
        <is>
          <t>197110, Г.САНКТ-ПЕТЕРБУРГ, УЛ. БАРОЧНАЯ, Д. 10, К. 1 ЛИТЕР А</t>
        </is>
      </c>
      <c r="L46" s="6" t="n">
        <v>111</v>
      </c>
      <c r="M46" s="6" t="n">
        <v>1096030</v>
      </c>
      <c r="N46" s="6" t="n">
        <v>51689</v>
      </c>
      <c r="O46" s="6" t="n">
        <v>331171</v>
      </c>
      <c r="P46" s="5"/>
      <c r="Q46" s="5"/>
    </row>
    <row collapsed="false" customFormat="false" customHeight="false" hidden="false" ht="12.1" outlineLevel="0" r="47">
      <c r="A47" s="4" t="s">
        <f>HYPERLINK("https://www.list-org.com/company/96697","https://www.list-org.com/company/96697")</f>
      </c>
      <c r="B47" s="5" t="inlineStr">
        <is>
          <t>ООО НПФ "ФОРУС"</t>
        </is>
      </c>
      <c r="C47" s="5" t="inlineStr">
        <is>
          <t>ОБЩЕСТВО С ОГРАНИЧЕННОЙ ОТВЕТСТВЕННОСТЬЮ НАУЧНО- ПРОИЗВОДСТВЕННАЯ ФИРМА "ФОРУС"</t>
        </is>
      </c>
      <c r="D47" s="5" t="inlineStr">
        <is>
          <t>действующее</t>
        </is>
      </c>
      <c r="E47" s="5" t="inlineStr">
        <is>
          <t>ДЕНИСОВА ВАЛЕНТИНА СЕРГЕЕВНА</t>
        </is>
      </c>
      <c r="F47" s="5" t="inlineStr">
        <is>
          <t>3812023430</t>
        </is>
      </c>
      <c r="G47" s="5" t="inlineStr">
        <is>
          <t>1023801752633</t>
        </is>
      </c>
      <c r="H47" s="5" t="inlineStr">
        <is>
          <t>+7 (3952) 25-83-11</t>
        </is>
      </c>
      <c r="I47" s="5" t="inlineStr">
        <is>
          <t>info@forus.ru, aderevyanchuk@forus.ru, lnikiforova@forus.ru, oshishkina@forus.ru, expense@forus.ru</t>
        </is>
      </c>
      <c r="J47" s="5" t="inlineStr">
        <is>
          <t>http://forus.ru</t>
        </is>
      </c>
      <c r="K47" s="5" t="inlineStr">
        <is>
          <t>664007, ИРКУТСКАЯ ОБЛАСТЬ, Г. ИРКУТСК, УЛ. ЯМСКАЯ, Д. 1/1, ОФИС 1</t>
        </is>
      </c>
      <c r="L47" s="6" t="n">
        <v>173</v>
      </c>
      <c r="M47" s="6" t="n">
        <v>979591</v>
      </c>
      <c r="N47" s="6" t="n">
        <v>102860</v>
      </c>
      <c r="O47" s="6" t="n">
        <v>243851</v>
      </c>
      <c r="P47" s="5"/>
      <c r="Q47" s="5"/>
    </row>
    <row collapsed="false" customFormat="false" customHeight="false" hidden="false" ht="12.1" outlineLevel="0" r="48">
      <c r="A48" s="4" t="s">
        <f>HYPERLINK("https://www.list-org.com/company/106508","https://www.list-org.com/company/106508")</f>
      </c>
      <c r="B48" s="5" t="inlineStr">
        <is>
          <t>ЗАО "СП. АРМ"</t>
        </is>
      </c>
      <c r="C48" s="5" t="inlineStr">
        <is>
          <t>ЗАКРЫТОЕ АКЦИОНЕРНОЕ ОБЩЕСТВО "СП. АРМ"</t>
        </is>
      </c>
      <c r="D48" s="5" t="inlineStr">
        <is>
          <t>действующее</t>
        </is>
      </c>
      <c r="E48" s="5" t="inlineStr">
        <is>
          <t>МАРТЫНОВ АЛЕКСАНДР ВАСИЛЬЕВИЧ</t>
        </is>
      </c>
      <c r="F48" s="5" t="inlineStr">
        <is>
          <t>4719001089</t>
        </is>
      </c>
      <c r="G48" s="5" t="inlineStr">
        <is>
          <t>1024702089940</t>
        </is>
      </c>
      <c r="H48" s="5" t="inlineStr">
        <is>
          <t>328-77-04</t>
        </is>
      </c>
      <c r="I48" s="5" t="inlineStr">
        <is>
          <t>galina@sparm.com</t>
        </is>
      </c>
      <c r="J48" s="5" t="inlineStr">
        <is>
          <t>www.sparm.com</t>
        </is>
      </c>
      <c r="K48" s="5" t="inlineStr">
        <is>
          <t>188330, ЛЕНИНГРАДСКАЯ ОБЛАСТЬ, ГАТЧИНСКИЙ Р-Н, ГП СИВЕРСКИЙ, УЛ ЗАВОДСКАЯ, Д. 9</t>
        </is>
      </c>
      <c r="L48" s="6" t="n">
        <v>191</v>
      </c>
      <c r="M48" s="6" t="n">
        <v>703608</v>
      </c>
      <c r="N48" s="6" t="n">
        <v>8694</v>
      </c>
      <c r="O48" s="6" t="n">
        <v>160004</v>
      </c>
      <c r="P48" s="5"/>
      <c r="Q48" s="5"/>
    </row>
    <row collapsed="false" customFormat="false" customHeight="false" hidden="false" ht="12.1" outlineLevel="0" r="49">
      <c r="A49" s="4" t="s">
        <f>HYPERLINK("https://www.list-org.com/company/109150","https://www.list-org.com/company/109150")</f>
      </c>
      <c r="B49" s="5" t="inlineStr">
        <is>
          <t>ООО "САЙНЕР"</t>
        </is>
      </c>
      <c r="C49" s="5" t="inlineStr">
        <is>
          <t>ОБЩЕСТВО С ОГРАНИЧЕННОЙ ОТВЕТСТВЕННОСТЬЮ "САЙНЕР"</t>
        </is>
      </c>
      <c r="D49" s="5" t="inlineStr">
        <is>
          <t>действующее</t>
        </is>
      </c>
      <c r="E49" s="5" t="inlineStr">
        <is>
          <t>ПЕРЬКОВ МИХАИЛ АЛЕКСАНДРОВИЧ</t>
        </is>
      </c>
      <c r="F49" s="5" t="inlineStr">
        <is>
          <t>3123079038</t>
        </is>
      </c>
      <c r="G49" s="5" t="inlineStr">
        <is>
          <t>1023101643190</t>
        </is>
      </c>
      <c r="H49" s="5" t="inlineStr">
        <is>
          <t>+7 (4722) 58-85-55</t>
        </is>
      </c>
      <c r="I49" s="5" t="inlineStr">
        <is>
          <t>3123079038_7702@eo.tensor.ru</t>
        </is>
      </c>
      <c r="J49" s="5" t="inlineStr">
        <is>
          <t>www.sciener.ru</t>
        </is>
      </c>
      <c r="K49" s="5" t="inlineStr">
        <is>
          <t>308012, БЕЛГОРОДСКАЯ ОБЛАСТЬ, ГОРОД БЕЛГОРОД, Г. БЕЛГОРОД, Г БЕЛГОРОД, УЛ АКАДЕМИЧЕСКАЯ, Д. 23А, ПОМЕЩ. 2</t>
        </is>
      </c>
      <c r="L49" s="6" t="n">
        <v>107</v>
      </c>
      <c r="M49" s="6" t="n">
        <v>317459</v>
      </c>
      <c r="N49" s="6" t="n">
        <v>59109</v>
      </c>
      <c r="O49" s="6" t="n">
        <v>473172</v>
      </c>
      <c r="P49" s="5"/>
      <c r="Q49" s="5"/>
    </row>
    <row collapsed="false" customFormat="false" customHeight="false" hidden="false" ht="12.1" outlineLevel="0" r="50">
      <c r="A50" s="4" t="s">
        <f>HYPERLINK("https://www.list-org.com/company/109961","https://www.list-org.com/company/109961")</f>
      </c>
      <c r="B50" s="5" t="inlineStr">
        <is>
          <t>АО "АЛГОНТ"</t>
        </is>
      </c>
      <c r="C50" s="5" t="inlineStr">
        <is>
          <t>АКЦИОНЕРНОЕ ОБЩЕСТВО "АЛГОНТ"</t>
        </is>
      </c>
      <c r="D50" s="5" t="inlineStr">
        <is>
          <t>действующее</t>
        </is>
      </c>
      <c r="E50" s="5" t="inlineStr">
        <is>
          <t>СЕМЕНЧЕНКО ИГОРЬ СЕРГЕЕВИЧ</t>
        </is>
      </c>
      <c r="F50" s="5" t="inlineStr">
        <is>
          <t>4029008497</t>
        </is>
      </c>
      <c r="G50" s="5" t="inlineStr">
        <is>
          <t>1024001425766</t>
        </is>
      </c>
      <c r="H50" s="5" t="inlineStr">
        <is>
          <t>+7 (4842) 73-91-84</t>
        </is>
      </c>
      <c r="I50" s="5" t="inlineStr">
        <is>
          <t>ivanova@algont.ru, inbox@algont.ru, lea@algont.ru</t>
        </is>
      </c>
      <c r="J50" s="5" t="inlineStr">
        <is>
          <t>http://algont.ru</t>
        </is>
      </c>
      <c r="K50" s="5" t="inlineStr">
        <is>
          <t>248009, КАЛУЖСКАЯ ОБЛАСТЬ, Г КАЛУГА, Ш ГРАБЦЕВСКОЕ, Д. 33</t>
        </is>
      </c>
      <c r="L50" s="6" t="n">
        <v>365</v>
      </c>
      <c r="M50" s="6" t="n">
        <v>1500750</v>
      </c>
      <c r="N50" s="6" t="n">
        <v>142282</v>
      </c>
      <c r="O50" s="6" t="n">
        <v>2145850</v>
      </c>
      <c r="P50" s="5"/>
      <c r="Q50" s="5"/>
    </row>
    <row collapsed="false" customFormat="false" customHeight="false" hidden="false" ht="12.1" outlineLevel="0" r="51">
      <c r="A51" s="4" t="s">
        <f>HYPERLINK("https://www.list-org.com/company/131888","https://www.list-org.com/company/131888")</f>
      </c>
      <c r="B51" s="5" t="inlineStr">
        <is>
          <t>ООО НТП "КРИПТОСОФТ"</t>
        </is>
      </c>
      <c r="C51" s="5" t="inlineStr">
        <is>
          <t>ОБЩЕСТВО С ОГРАНИЧЕННОЙ ОТВЕТСТВЕННОСТЬЮ НАУЧНО-ТЕХНИЧЕСКОЕ ПРЕДПРИЯТИЕ "КРИПТОСОФТ"</t>
        </is>
      </c>
      <c r="D51" s="5" t="inlineStr">
        <is>
          <t>действующее</t>
        </is>
      </c>
      <c r="E51" s="5" t="inlineStr">
        <is>
          <t>ВАРТАНОВ АРТУР АЛЕКСАНДРОВИЧ</t>
        </is>
      </c>
      <c r="F51" s="5" t="inlineStr">
        <is>
          <t>5836608707</t>
        </is>
      </c>
      <c r="G51" s="5" t="inlineStr">
        <is>
          <t>1025801366150</t>
        </is>
      </c>
      <c r="H51" s="5" t="inlineStr">
        <is>
          <t>+7 (8412) 56-00-77</t>
        </is>
      </c>
      <c r="I51" s="5" t="inlineStr">
        <is>
          <t>mails@cryptosoft.ru, irrina@criptosoft.ru, finotdel@cryptosoft.ru</t>
        </is>
      </c>
      <c r="J51" s="5" t="inlineStr">
        <is>
          <t>http://cryptosoft.ru</t>
        </is>
      </c>
      <c r="K51" s="5" t="inlineStr">
        <is>
          <t>440026, ПЕНЗЕНСКАЯ ОБЛАСТЬ, Г ПЕНЗА, УЛ ЛЕРМОНТОВА, Д. 3</t>
        </is>
      </c>
      <c r="L51" s="6" t="n">
        <v>271</v>
      </c>
      <c r="M51" s="6" t="n">
        <v>678954</v>
      </c>
      <c r="N51" s="6" t="n">
        <v>34016</v>
      </c>
      <c r="O51" s="6" t="n">
        <v>245548</v>
      </c>
      <c r="P51" s="5"/>
      <c r="Q51" s="5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2025-12-11T11:30:04.00Z</dcterms:created>
  <dc:title/>
  <dc:subject/>
  <dc:creator/>
  <dc:description/>
  <cp:revision>0</cp:revision>
</cp:coreProperties>
</file>