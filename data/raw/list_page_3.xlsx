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color rgb="FF5C0303"/>
      <b val="true"/>
    </font>
    <font>
      <name val="Arial"/>
      <charset val="1"/>
      <family val="2"/>
      <sz val="10"/>
      <color rgb="FF4D4DA7"/>
      <u val="single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 style="hair"/>
      <right style="hair"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7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37"/>
    <col collapsed="false" hidden="false" max="2" min="2" style="0" customWidth="true" width="30"/>
    <col collapsed="false" hidden="false" max="3" min="3" style="0" customWidth="true" width="70"/>
    <col collapsed="false" hidden="false" max="4" min="4" style="0" customWidth="true" width="15"/>
    <col collapsed="false" hidden="false" max="5" min="5" style="0" customWidth="true" width="40"/>
    <col collapsed="false" hidden="false" max="6" min="6" style="0" customWidth="true" width="15"/>
    <col collapsed="false" hidden="false" max="7" min="7" style="0" customWidth="true" width="17"/>
    <col collapsed="false" hidden="false" max="8" min="8" style="0" customWidth="true" width="17"/>
    <col collapsed="false" hidden="false" max="9" min="9" style="0" customWidth="true" width="15"/>
    <col collapsed="false" hidden="false" max="10" min="10" style="0" customWidth="true" width="15"/>
    <col collapsed="false" hidden="false" max="11" min="11" style="0" customWidth="true" width="80"/>
    <col collapsed="false" hidden="false" max="12" min="12" style="0" customWidth="true" width="15"/>
    <col collapsed="false" hidden="false" max="13" min="13" style="0" customWidth="true" width="20"/>
    <col collapsed="false" hidden="false" max="14" min="14" style="0" customWidth="true" width="20"/>
    <col collapsed="false" hidden="false" max="15" min="15" style="0" customWidth="true" width="20"/>
    <col collapsed="false" hidden="false" max="1024" min="16" style="0" customWidth="false" width="11.5"/>
  </cols>
  <sheetData>
    <row collapsed="false" customFormat="false" customHeight="false" hidden="false" ht="12.1" outlineLevel="0" r="1">
      <c r="A1" s="3" t="inlineStr">
        <is>
          <t>Ссылка на www.list-org.com</t>
        </is>
      </c>
      <c r="B1" s="3" t="inlineStr">
        <is>
          <t>Наименование</t>
        </is>
      </c>
      <c r="C1" s="3" t="inlineStr">
        <is>
          <t>Юридическое наименование</t>
        </is>
      </c>
      <c r="D1" s="3" t="inlineStr">
        <is>
          <t>Статус</t>
        </is>
      </c>
      <c r="E1" s="3" t="inlineStr">
        <is>
          <t>Руководитель</t>
        </is>
      </c>
      <c r="F1" s="3" t="inlineStr">
        <is>
          <t>ИНН</t>
        </is>
      </c>
      <c r="G1" s="3" t="inlineStr">
        <is>
          <t>ОГРН</t>
        </is>
      </c>
      <c r="H1" s="3" t="inlineStr">
        <is>
          <t>Телефон (один из)</t>
        </is>
      </c>
      <c r="I1" s="3" t="inlineStr">
        <is>
          <t>E-mail</t>
        </is>
      </c>
      <c r="J1" s="3" t="inlineStr">
        <is>
          <t>Сайт</t>
        </is>
      </c>
      <c r="K1" s="3" t="inlineStr">
        <is>
          <t>Юридический адрес</t>
        </is>
      </c>
      <c r="L1" s="3" t="inlineStr">
        <is>
          <t>Сотрудников</t>
        </is>
      </c>
      <c r="M1" s="3" t="inlineStr">
        <is>
          <t>Выручка (Ф2.2110)</t>
        </is>
      </c>
      <c r="N1" s="3" t="inlineStr">
        <is>
          <t>Прибыль (Ф2.2400)</t>
        </is>
      </c>
      <c r="O1" s="3" t="inlineStr">
        <is>
          <t>Стоимость (Ф1.1300)</t>
        </is>
      </c>
      <c r="P1" s="3" t="inlineStr">
        <is>
          <t>Описание</t>
        </is>
      </c>
      <c r="Q1" s="3" t="inlineStr">
        <is>
          <t>В избранном</t>
        </is>
      </c>
    </row>
    <row collapsed="false" customFormat="false" customHeight="false" hidden="false" ht="12.1" outlineLevel="0" r="2">
      <c r="A2" s="4" t="s">
        <f>HYPERLINK("https://www.list-org.com/company/4876569","https://www.list-org.com/company/4876569")</f>
      </c>
      <c r="B2" s="5" t="inlineStr">
        <is>
          <t>АО "БАШКИРСКИЙ РЕГИСТР СОЦИАЛЬНЫХ КАРТ"</t>
        </is>
      </c>
      <c r="C2" s="5" t="inlineStr">
        <is>
          <t>АКЦИОНЕРНОЕ ОБЩЕСТВО "БАШКИРСКИЙ РЕГИСТР СОЦИАЛЬНЫХ КАРТ"</t>
        </is>
      </c>
      <c r="D2" s="5" t="inlineStr">
        <is>
          <t>действующее</t>
        </is>
      </c>
      <c r="E2" s="5" t="inlineStr">
        <is>
          <t>НАЗАРОВ МАКСИМ ВЛАДИМИРОВИЧ</t>
        </is>
      </c>
      <c r="F2" s="5" t="inlineStr">
        <is>
          <t>0274124752</t>
        </is>
      </c>
      <c r="G2" s="5" t="inlineStr">
        <is>
          <t>1070274010520</t>
        </is>
      </c>
      <c r="H2" s="5" t="inlineStr">
        <is>
          <t>+7 (347) 251-95-46</t>
        </is>
      </c>
      <c r="I2" s="5" t="inlineStr">
        <is>
          <t>gosuslugi@brsc.ru, mail@brsc.ru</t>
        </is>
      </c>
      <c r="J2" s="5" t="inlineStr">
        <is>
          <t>brsc.ru</t>
        </is>
      </c>
      <c r="K2" s="5" t="inlineStr">
        <is>
          <t>450008, РЕСПУБЛИКА БАШКОРТОСТАН, Г. УФА, УЛ. КРУПСКОЙ, Д. 9</t>
        </is>
      </c>
      <c r="L2" s="6" t="n">
        <v>130</v>
      </c>
      <c r="M2" s="6" t="n">
        <v>321024</v>
      </c>
      <c r="N2" s="6" t="n">
        <v>-4968</v>
      </c>
      <c r="O2" s="6" t="n">
        <v>52778</v>
      </c>
      <c r="P2" s="5"/>
      <c r="Q2" s="5"/>
    </row>
    <row collapsed="false" customFormat="false" customHeight="false" hidden="false" ht="12.1" outlineLevel="0" r="3">
      <c r="A3" s="4" t="s">
        <f>HYPERLINK("https://www.list-org.com/company/5332746","https://www.list-org.com/company/5332746")</f>
      </c>
      <c r="B3" s="5" t="inlineStr">
        <is>
          <t>ООО "ТатАИСЭнерго"</t>
        </is>
      </c>
      <c r="C3" s="5" t="inlineStr">
        <is>
          <t>ОБЩЕСТВО С ОГРАНИЧЕННОЙ ОТВЕТСТВЕННОСТЬЮ "ТАТАРСТАН АВТОМАТИЗАЦИЯ И СВЯЗЬ ЭНЕРГО"</t>
        </is>
      </c>
      <c r="D3" s="5" t="inlineStr">
        <is>
          <t>действующее</t>
        </is>
      </c>
      <c r="E3" s="5" t="inlineStr">
        <is>
          <t>МИРСИЯПОВ РИШАД РАШИДОВИЧ</t>
        </is>
      </c>
      <c r="F3" s="5" t="inlineStr">
        <is>
          <t>1655152750</t>
        </is>
      </c>
      <c r="G3" s="5" t="inlineStr">
        <is>
          <t>1081690010159</t>
        </is>
      </c>
      <c r="H3" s="5" t="inlineStr">
        <is>
          <t>+7 (843) 291-81-59</t>
        </is>
      </c>
      <c r="I3" s="5" t="inlineStr">
        <is>
          <t>office@tataisenergo.ru</t>
        </is>
      </c>
      <c r="J3" s="5" t="inlineStr">
        <is>
          <t>http://tataisenergo.ru</t>
        </is>
      </c>
      <c r="K3" s="5" t="inlineStr">
        <is>
          <t>420107, РЕСПУБЛИКА ТАТАРСТАН (ТАТАРСТАН), Г. КАЗАНЬ, УЛ. МАРСЕЛЯ САЛИМЖАНОВА, Д. 1</t>
        </is>
      </c>
      <c r="L3" s="6" t="n">
        <v>170</v>
      </c>
      <c r="M3" s="6" t="n">
        <v>1263170</v>
      </c>
      <c r="N3" s="6" t="n">
        <v>71700</v>
      </c>
      <c r="O3" s="6" t="n">
        <v>499472</v>
      </c>
      <c r="P3" s="5"/>
      <c r="Q3" s="5"/>
    </row>
    <row collapsed="false" customFormat="false" customHeight="false" hidden="false" ht="12.1" outlineLevel="0" r="4">
      <c r="A4" s="4" t="s">
        <f>HYPERLINK("https://www.list-org.com/company/5606563","https://www.list-org.com/company/5606563")</f>
      </c>
      <c r="B4" s="5" t="inlineStr">
        <is>
          <t>ООО ИПЦ  "КОНСУЛЬТАНТ+АСКОН"</t>
        </is>
      </c>
      <c r="C4" s="5" t="inlineStr">
        <is>
          <t>ОБЩЕСТВО С ОГРАНИЧЕННОЙ ОТВЕТСТВЕННОСТЬЮ ИНФОРМАЦИОННО-ПРАВОВОЙ ЦЕНТР "КОНСУЛЬТАНТ+АСКОН"</t>
        </is>
      </c>
      <c r="D4" s="5" t="inlineStr">
        <is>
          <t>действующее</t>
        </is>
      </c>
      <c r="E4" s="5" t="inlineStr">
        <is>
          <t>ГОЛИКОВА ИРИНА АЛЕКСАНДРОВНА</t>
        </is>
      </c>
      <c r="F4" s="5" t="inlineStr">
        <is>
          <t>7839392506</t>
        </is>
      </c>
      <c r="G4" s="5" t="inlineStr">
        <is>
          <t>1089847397595</t>
        </is>
      </c>
      <c r="H4" s="5" t="inlineStr">
        <is>
          <t>+7 (812) 449-81-41</t>
        </is>
      </c>
      <c r="I4" s="5" t="inlineStr">
        <is>
          <t>office@ascon.spb.ru</t>
        </is>
      </c>
      <c r="J4" s="5" t="inlineStr">
        <is>
          <t>www.ascon-spb.ru</t>
        </is>
      </c>
      <c r="K4" s="5" t="inlineStr">
        <is>
          <t>199155, САНКТ-ПЕТЕРБУРГ ГОРОД, УЛИЦА ОДОЕВСКОГО, Д. 5, ЛИТЕРА А</t>
        </is>
      </c>
      <c r="L4" s="6" t="n">
        <v>187</v>
      </c>
      <c r="M4" s="6" t="n">
        <v>698119</v>
      </c>
      <c r="N4" s="6" t="n">
        <v>71560</v>
      </c>
      <c r="O4" s="6" t="n">
        <v>69842</v>
      </c>
      <c r="P4" s="5"/>
      <c r="Q4" s="5"/>
    </row>
    <row collapsed="false" customFormat="false" customHeight="false" hidden="false" ht="12.1" outlineLevel="0" r="5">
      <c r="A5" s="4" t="s">
        <f>HYPERLINK("https://www.list-org.com/company/5651526","https://www.list-org.com/company/5651526")</f>
      </c>
      <c r="B5" s="5" t="inlineStr">
        <is>
          <t>ООО "АВП Технология"</t>
        </is>
      </c>
      <c r="C5" s="5" t="inlineStr">
        <is>
          <t>ОБЩЕСТВО С ОГРАНИЧЕННОЙ ОТВЕТСТВЕННОСТЬЮ "АВП Технология"</t>
        </is>
      </c>
      <c r="D5" s="5" t="inlineStr">
        <is>
          <t>действующее</t>
        </is>
      </c>
      <c r="E5" s="5" t="inlineStr">
        <is>
          <t>КАЛИНИЧЕНКО ДАВИД СЕРГЕЕВИЧ</t>
        </is>
      </c>
      <c r="F5" s="5" t="inlineStr">
        <is>
          <t>7716643809</t>
        </is>
      </c>
      <c r="G5" s="5" t="inlineStr">
        <is>
          <t>1097746354430</t>
        </is>
      </c>
      <c r="H5" s="5" t="inlineStr">
        <is>
          <t>+7 (495) 788-70-84</t>
        </is>
      </c>
      <c r="I5" s="5" t="inlineStr">
        <is>
          <t>info@avpt.ru</t>
        </is>
      </c>
      <c r="J5" s="5" t="inlineStr">
        <is>
          <t>http://avpbest.ru</t>
        </is>
      </c>
      <c r="K5" s="5" t="inlineStr">
        <is>
          <t>111123, Г.МОСКВА, МУНИЦИПАЛЬНЫЙ ОКРУГ ПЕРОВО, УЛ ПЛЕХАНОВА, Д. 4</t>
        </is>
      </c>
      <c r="L5" s="6" t="n">
        <v>244</v>
      </c>
      <c r="M5" s="6" t="n">
        <v>1892280</v>
      </c>
      <c r="N5" s="6" t="n">
        <v>210425</v>
      </c>
      <c r="O5" s="6" t="n">
        <v>798799</v>
      </c>
      <c r="P5" s="5"/>
      <c r="Q5" s="5"/>
    </row>
    <row collapsed="false" customFormat="false" customHeight="false" hidden="false" ht="12.1" outlineLevel="0" r="6">
      <c r="A6" s="4" t="s">
        <f>HYPERLINK("https://www.list-org.com/company/5670071","https://www.list-org.com/company/5670071")</f>
      </c>
      <c r="B6" s="5" t="inlineStr">
        <is>
          <t>ООО "БАЙТЭКС"</t>
        </is>
      </c>
      <c r="C6" s="5" t="inlineStr">
        <is>
          <t>ОБЩЕСТВО С ОГРАНИЧЕННОЙ ОТВЕТСТВЕННОСТЬЮ "БАЙТЭКС"</t>
        </is>
      </c>
      <c r="D6" s="5" t="inlineStr">
        <is>
          <t>действующее</t>
        </is>
      </c>
      <c r="E6" s="5" t="inlineStr">
        <is>
          <t>ГУРЕВИЧ ВЛАДИМИР ГИРШЕВИЧ</t>
        </is>
      </c>
      <c r="F6" s="5" t="inlineStr">
        <is>
          <t>1326210220</t>
        </is>
      </c>
      <c r="G6" s="5" t="inlineStr">
        <is>
          <t>1091326000446</t>
        </is>
      </c>
      <c r="H6" s="5" t="inlineStr">
        <is>
          <t>+7 (8342) 38-00-37</t>
        </is>
      </c>
      <c r="I6" s="5" t="inlineStr">
        <is>
          <t>t.kandrina@bytexgames.ru, info@bytexgames.ru</t>
        </is>
      </c>
      <c r="J6" s="5" t="inlineStr">
        <is>
          <t>www.bytexgames.ru</t>
        </is>
      </c>
      <c r="K6" s="5" t="inlineStr">
        <is>
          <t>197374, Г.САНКТ-ПЕТЕРБУРГ, ВНУТРИГОРОДСКАЯ ТЕРРИТОРИЯ ГОРОДА ФЕДЕРАЛЬНОГО ЗНАЧЕНИЯ МУНИЦИПАЛЬНЫЙ ОКРУГ № 65, ПР-КТ ПРИМОРСКИЙ, Д. 52, ПОМЕЩ. 28-Н, ОФИС 1</t>
        </is>
      </c>
      <c r="L6" s="6" t="n">
        <v>244</v>
      </c>
      <c r="M6" s="6"/>
      <c r="N6" s="6" t="n">
        <v>-41505</v>
      </c>
      <c r="O6" s="6" t="n">
        <v>4143</v>
      </c>
      <c r="P6" s="5"/>
      <c r="Q6" s="5"/>
    </row>
    <row collapsed="false" customFormat="false" customHeight="false" hidden="false" ht="12.1" outlineLevel="0" r="7">
      <c r="A7" s="4" t="s">
        <f>HYPERLINK("https://www.list-org.com/company/5692508","https://www.list-org.com/company/5692508")</f>
      </c>
      <c r="B7" s="5" t="inlineStr">
        <is>
          <t>ООО "ДЕЛИВЕРИ КЛАБ"</t>
        </is>
      </c>
      <c r="C7" s="5" t="inlineStr">
        <is>
          <t>ОБЩЕСТВО С ОГРАНИЧЕННОЙ ОТВЕТСТВЕННОСТЬЮ "ДЕЛИВЕРИ КЛАБ"</t>
        </is>
      </c>
      <c r="D7" s="5" t="inlineStr">
        <is>
          <t>действующее</t>
        </is>
      </c>
      <c r="E7" s="5" t="inlineStr">
        <is>
          <t>АНИЩЕНКОВ ЕВГЕНИЙ АНДРЕЕВИЧ</t>
        </is>
      </c>
      <c r="F7" s="5" t="inlineStr">
        <is>
          <t>7705891253</t>
        </is>
      </c>
      <c r="G7" s="5" t="inlineStr">
        <is>
          <t>1097746360568</t>
        </is>
      </c>
      <c r="H7" s="5" t="inlineStr">
        <is>
          <t>+7 (495) 663-77-22</t>
        </is>
      </c>
      <c r="I7" s="5" t="inlineStr">
        <is>
          <t>help@delivery-club.ru</t>
        </is>
      </c>
      <c r="J7" s="5" t="inlineStr">
        <is>
          <t>https://www.delivery-club.ru</t>
        </is>
      </c>
      <c r="K7" s="5" t="inlineStr">
        <is>
          <t>123112, Г.Москва, ВНУТРИГОРОДСКАЯ ТЕРРИТОРИЯ ГОРОДА ФЕДЕРАЛЬНОГО ЗНАЧЕНИЯ МУНИЦИПАЛЬНЫЙ ОКРУГ ПРЕСНЕНСКИЙ, ПРОЕЗД 1-Й КРАСНОГВАРДЕЙСКИЙ, Д. 22</t>
        </is>
      </c>
      <c r="L7" s="6" t="n">
        <v>141</v>
      </c>
      <c r="M7" s="6" t="n">
        <v>15095100</v>
      </c>
      <c r="N7" s="6" t="n">
        <v>759823</v>
      </c>
      <c r="O7" s="6" t="n">
        <v>4762670</v>
      </c>
      <c r="P7" s="5"/>
      <c r="Q7" s="5"/>
    </row>
    <row collapsed="false" customFormat="false" customHeight="false" hidden="false" ht="12.1" outlineLevel="0" r="8">
      <c r="A8" s="4" t="s">
        <f>HYPERLINK("https://www.list-org.com/company/5706055","https://www.list-org.com/company/5706055")</f>
      </c>
      <c r="B8" s="5" t="inlineStr">
        <is>
          <t>ООО "Интернет-агентство ИНТЕРВОЛГА"</t>
        </is>
      </c>
      <c r="C8" s="5" t="inlineStr">
        <is>
          <t>ОБЩЕСТВО С ОГРАНИЧЕННОЙ ОТВЕТСТВЕННОСТЬЮ "Интернет-агентство ИНТЕРВОЛГА"</t>
        </is>
      </c>
      <c r="D8" s="5" t="inlineStr">
        <is>
          <t>действующее</t>
        </is>
      </c>
      <c r="E8" s="5" t="inlineStr">
        <is>
          <t>ОВЧИННИКОВ СТЕПАН АЛЕКСАНДРОВИЧ</t>
        </is>
      </c>
      <c r="F8" s="5" t="inlineStr">
        <is>
          <t>3445103528</t>
        </is>
      </c>
      <c r="G8" s="5" t="inlineStr">
        <is>
          <t>1093460002371</t>
        </is>
      </c>
      <c r="H8" s="5" t="inlineStr">
        <is>
          <t>+7 (903) 316-03-10</t>
        </is>
      </c>
      <c r="I8" s="5" t="inlineStr">
        <is>
          <t>stepan.ovchinnikov@gmail.com</t>
        </is>
      </c>
      <c r="J8" s="5" t="inlineStr">
        <is>
          <t>http://mellodesign.ru</t>
        </is>
      </c>
      <c r="K8" s="5" t="inlineStr">
        <is>
          <t>400005, ВОЛГОГРАДСКАЯ ОБЛАСТЬ, ГОРОД-ГЕРОЙ ВОЛГОГРАД, Г. ВОЛГОГРАД, Г ВОЛГОГРАД, ПР-КТ ИМ. В.И. ЛЕНИНА, Д. 50А, ОФИС 36</t>
        </is>
      </c>
      <c r="L8" s="6" t="n">
        <v>100</v>
      </c>
      <c r="M8" s="6" t="n">
        <v>298078</v>
      </c>
      <c r="N8" s="6" t="n">
        <v>85863</v>
      </c>
      <c r="O8" s="6" t="n">
        <v>77694</v>
      </c>
      <c r="P8" s="5"/>
      <c r="Q8" s="5"/>
    </row>
    <row collapsed="false" customFormat="false" customHeight="false" hidden="false" ht="12.1" outlineLevel="0" r="9">
      <c r="A9" s="4" t="s">
        <f>HYPERLINK("https://www.list-org.com/company/5778965","https://www.list-org.com/company/5778965")</f>
      </c>
      <c r="B9" s="5" t="inlineStr">
        <is>
          <t>ООО "Синтек"</t>
        </is>
      </c>
      <c r="C9" s="5" t="inlineStr">
        <is>
          <t>ОБЩЕСТВО С ОГРАНИЧЕННОЙ ОТВЕТСТВЕННОСТЬЮ "Синтек"</t>
        </is>
      </c>
      <c r="D9" s="5" t="inlineStr">
        <is>
          <t>действующее</t>
        </is>
      </c>
      <c r="E9" s="5" t="inlineStr">
        <is>
          <t>ОДЕГОВ ВАЛЕРИЙ ЕВГЕНЬЕВИЧ</t>
        </is>
      </c>
      <c r="F9" s="5" t="inlineStr">
        <is>
          <t>5261066968</t>
        </is>
      </c>
      <c r="G9" s="5" t="inlineStr">
        <is>
          <t>1095261000647</t>
        </is>
      </c>
      <c r="H9" s="5" t="inlineStr">
        <is>
          <t>+7 (831) 296-46-55</t>
        </is>
      </c>
      <c r="I9" s="5" t="inlineStr">
        <is>
          <t>deeva.ekaterina@sintek-nn.ru</t>
        </is>
      </c>
      <c r="J9" s="5" t="inlineStr">
        <is>
          <t>sintek-nn.ru</t>
        </is>
      </c>
      <c r="K9" s="5" t="inlineStr">
        <is>
          <t>603105, НИЖЕГОРОДСКАЯ ОБЛАСТЬ, Г. НИЖНИЙ НОВГОРОД, УЛ. ОШАРСКАЯ, Д.77А, П8</t>
        </is>
      </c>
      <c r="L9" s="6" t="n">
        <v>443</v>
      </c>
      <c r="M9" s="6" t="n">
        <v>3220170</v>
      </c>
      <c r="N9" s="6" t="n">
        <v>63821</v>
      </c>
      <c r="O9" s="6" t="n">
        <v>873991</v>
      </c>
      <c r="P9" s="5"/>
      <c r="Q9" s="5"/>
    </row>
    <row collapsed="false" customFormat="false" customHeight="false" hidden="false" ht="12.1" outlineLevel="0" r="10">
      <c r="A10" s="4" t="s">
        <f>HYPERLINK("https://www.list-org.com/company/6104559","https://www.list-org.com/company/6104559")</f>
      </c>
      <c r="B10" s="5" t="inlineStr">
        <is>
          <t>ООО "ПЕТРОТРЕЙС"</t>
        </is>
      </c>
      <c r="C10" s="5" t="inlineStr">
        <is>
          <t>ОБЩЕСТВО С ОГРАНИЧЕННОЙ ОТВЕТСТВЕННОСТЬЮ "ПЕТРОТРЕЙС"</t>
        </is>
      </c>
      <c r="D10" s="5" t="inlineStr">
        <is>
          <t>действующее</t>
        </is>
      </c>
      <c r="E10" s="5" t="inlineStr">
        <is>
          <t>КОЗЛОВ ИГОРЬ БОРИСОВИЧ</t>
        </is>
      </c>
      <c r="F10" s="5" t="inlineStr">
        <is>
          <t>7725696878</t>
        </is>
      </c>
      <c r="G10" s="5" t="inlineStr">
        <is>
          <t>1107746491071</t>
        </is>
      </c>
      <c r="H10" s="5" t="inlineStr">
        <is>
          <t>+7 (495) 743-24-56</t>
        </is>
      </c>
      <c r="I10" s="5" t="inlineStr">
        <is>
          <t>igor.kozlov@ptgeos.com, igor.romanchenko@ptgeos.com</t>
        </is>
      </c>
      <c r="J10" s="5" t="inlineStr">
        <is>
          <t>petrotraceglobal.com</t>
        </is>
      </c>
      <c r="K10" s="5" t="inlineStr">
        <is>
          <t>115114, Г.МОСКВА, УЛ. ЛЕТНИКОВСКАЯ, Д.10, СТР.4</t>
        </is>
      </c>
      <c r="L10" s="6" t="n">
        <v>160</v>
      </c>
      <c r="M10" s="6" t="n">
        <v>1774880</v>
      </c>
      <c r="N10" s="6" t="n">
        <v>265291</v>
      </c>
      <c r="O10" s="6" t="n">
        <v>659804</v>
      </c>
      <c r="P10" s="5"/>
      <c r="Q10" s="5"/>
    </row>
    <row collapsed="false" customFormat="false" customHeight="false" hidden="false" ht="12.1" outlineLevel="0" r="11">
      <c r="A11" s="4" t="s">
        <f>HYPERLINK("https://www.list-org.com/company/6157340","https://www.list-org.com/company/6157340")</f>
      </c>
      <c r="B11" s="5" t="inlineStr">
        <is>
          <t>ООО "НПЦ "БизнесАвтоматика"</t>
        </is>
      </c>
      <c r="C11" s="5" t="inlineStr">
        <is>
          <t>ОБЩЕСТВО С ОГРАНИЧЕННОЙ ОТВЕТСТВЕННОСТЬЮ "Научно-производственный центр "БизнесАвтоматика"</t>
        </is>
      </c>
      <c r="D11" s="5" t="inlineStr">
        <is>
          <t>действующее</t>
        </is>
      </c>
      <c r="E11" s="5" t="inlineStr">
        <is>
          <t>ПЕТРАКОВ ПАВЕЛ САВЕЛЬЕВИЧ</t>
        </is>
      </c>
      <c r="F11" s="5" t="inlineStr">
        <is>
          <t>7729652455</t>
        </is>
      </c>
      <c r="G11" s="5" t="inlineStr">
        <is>
          <t>1107746225366</t>
        </is>
      </c>
      <c r="H11" s="5" t="inlineStr">
        <is>
          <t>+7 (800) 100-93-69</t>
        </is>
      </c>
      <c r="I11" s="5" t="inlineStr">
        <is>
          <t>info@npc.ba</t>
        </is>
      </c>
      <c r="J11" s="5" t="inlineStr">
        <is>
          <t>https://npc.ba</t>
        </is>
      </c>
      <c r="K11" s="5" t="inlineStr">
        <is>
          <t>123242, Г.Москва, ВНУТРИГОРОДСКАЯ ТЕРРИТОРИЯ ГОРОДА ФЕДЕРАЛЬНОГО ЗНАЧЕНИЯ МУНИЦИПАЛЬНЫЙ ОКРУГ ПРЕСНЕНСКИЙ, ПЕР КАПРАНОВА, Д. 3, ПОМЕЩ. 1/4</t>
        </is>
      </c>
      <c r="L11" s="6" t="n">
        <v>190</v>
      </c>
      <c r="M11" s="6" t="n">
        <v>466642</v>
      </c>
      <c r="N11" s="6" t="n">
        <v>25445</v>
      </c>
      <c r="O11" s="6" t="n">
        <v>134008</v>
      </c>
      <c r="P11" s="5"/>
      <c r="Q11" s="5"/>
    </row>
    <row collapsed="false" customFormat="false" customHeight="false" hidden="false" ht="12.1" outlineLevel="0" r="12">
      <c r="A12" s="4" t="s">
        <f>HYPERLINK("https://www.list-org.com/company/6157423","https://www.list-org.com/company/6157423")</f>
      </c>
      <c r="B12" s="5" t="inlineStr">
        <is>
          <t>ООО "НТВП "КЕДР - КОНСУЛЬТАНТ"</t>
        </is>
      </c>
      <c r="C12" s="5" t="inlineStr">
        <is>
          <t>ОБЩЕСТВО С ОГРАНИЧЕННОЙ ОТВЕТСТВЕННОСТЬЮ "НАУЧНО-ТЕХНИЧЕСКОЕ ВНЕДРЕНЧЕСКОЕ ПРЕДПРИЯТИЕ "КЕДР - КОНСУЛЬТАНТ"</t>
        </is>
      </c>
      <c r="D12" s="5" t="inlineStr">
        <is>
          <t>действующее</t>
        </is>
      </c>
      <c r="E12" s="5" t="inlineStr">
        <is>
          <t>ТРУШИН ЛЕОНИД АНАТОЛЬЕВИЧ</t>
        </is>
      </c>
      <c r="F12" s="5" t="inlineStr">
        <is>
          <t>1833056480</t>
        </is>
      </c>
      <c r="G12" s="5" t="inlineStr">
        <is>
          <t>1101840003319</t>
        </is>
      </c>
      <c r="H12" s="5" t="inlineStr">
        <is>
          <t>+7 (3412) 91-23-33</t>
        </is>
      </c>
      <c r="I12" s="5" t="inlineStr">
        <is>
          <t>kedr@ntvpkedr.ru</t>
        </is>
      </c>
      <c r="J12" s="5" t="inlineStr">
        <is>
          <t>http://ntvpkedr.ru</t>
        </is>
      </c>
      <c r="K12" s="5" t="inlineStr">
        <is>
          <t>426011, УДМУРТСКАЯ РЕСПУБЛИКА, Г. ИЖЕВСК, УЛ. МАКСИМА ГОРЬКОГО, Д. 79, ОФИС 314</t>
        </is>
      </c>
      <c r="L12" s="6" t="n">
        <v>123</v>
      </c>
      <c r="M12" s="6" t="n">
        <v>135038</v>
      </c>
      <c r="N12" s="6" t="n">
        <v>3655</v>
      </c>
      <c r="O12" s="6" t="n">
        <v>18716</v>
      </c>
      <c r="P12" s="5"/>
      <c r="Q12" s="5"/>
    </row>
    <row collapsed="false" customFormat="false" customHeight="false" hidden="false" ht="12.1" outlineLevel="0" r="13">
      <c r="A13" s="4" t="s">
        <f>HYPERLINK("https://www.list-org.com/company/6410067","https://www.list-org.com/company/6410067")</f>
      </c>
      <c r="B13" s="5" t="inlineStr">
        <is>
          <t>ООО "ИЦ РЕГИОНАЛЬНЫЕ СИСТЕМЫ"</t>
        </is>
      </c>
      <c r="C13" s="5" t="inlineStr">
        <is>
          <t>ОБЩЕСТВО С ОГРАНИЧЕННОЙ ОТВЕТСТВЕННОСТЬЮ "Инжиниринговый Центр РЕГИОНАЛЬНЫЕ СИСТЕМЫ"</t>
        </is>
      </c>
      <c r="D13" s="5" t="inlineStr">
        <is>
          <t>действующее</t>
        </is>
      </c>
      <c r="E13" s="5" t="inlineStr">
        <is>
          <t>ЛЕВАКОВ ДМИТРИЙ СЕРГЕЕВИЧ</t>
        </is>
      </c>
      <c r="F13" s="5" t="inlineStr">
        <is>
          <t>3445113340</t>
        </is>
      </c>
      <c r="G13" s="5" t="inlineStr">
        <is>
          <t>1103460004845</t>
        </is>
      </c>
      <c r="H13" s="5" t="inlineStr">
        <is>
          <t>+7 (8442) 93-27-53</t>
        </is>
      </c>
      <c r="I13" s="5" t="inlineStr">
        <is>
          <t>d.levakov@ec-rs.ru, resp@ec-rs.ru</t>
        </is>
      </c>
      <c r="J13" s="5" t="inlineStr">
        <is>
          <t>www.ec-rs.ru</t>
        </is>
      </c>
      <c r="K13" s="5" t="inlineStr">
        <is>
          <t>400074, Волгоградская область, ГОРОДСКОЙ ОКРУГ ГОРОД-ГЕРОЙ ВОЛГОГРАД, Г ВОЛГОГРАД, УЛ КОЗЛОВСКАЯ, Д. 71, ОФИС 401</t>
        </is>
      </c>
      <c r="L13" s="6" t="n">
        <v>322</v>
      </c>
      <c r="M13" s="6" t="n">
        <v>4503780</v>
      </c>
      <c r="N13" s="6" t="n">
        <v>505955</v>
      </c>
      <c r="O13" s="6" t="n">
        <v>1085600</v>
      </c>
      <c r="P13" s="5"/>
      <c r="Q13" s="5"/>
    </row>
    <row collapsed="false" customFormat="false" customHeight="false" hidden="false" ht="12.1" outlineLevel="0" r="14">
      <c r="A14" s="4" t="s">
        <f>HYPERLINK("https://www.list-org.com/company/6442469","https://www.list-org.com/company/6442469")</f>
      </c>
      <c r="B14" s="5" t="inlineStr">
        <is>
          <t>ООО "РДП.РУ"</t>
        </is>
      </c>
      <c r="C14" s="5" t="inlineStr">
        <is>
          <t>ОБЩЕСТВО С ОГРАНИЧЕННОЙ ОТВЕТСТВЕННОСТЬЮ "РДП.РУ"</t>
        </is>
      </c>
      <c r="D14" s="5" t="inlineStr">
        <is>
          <t>действующее</t>
        </is>
      </c>
      <c r="E14" s="5" t="inlineStr">
        <is>
          <t>НИКИФОРОВ ДМИТРИЙ АЛЕКСАНДРОВИЧ</t>
        </is>
      </c>
      <c r="F14" s="5" t="inlineStr">
        <is>
          <t>7729670341</t>
        </is>
      </c>
      <c r="G14" s="5" t="inlineStr">
        <is>
          <t>5107746005494</t>
        </is>
      </c>
      <c r="H14" s="5" t="inlineStr">
        <is>
          <t>+7 (903) 572-19-31</t>
        </is>
      </c>
      <c r="I14" s="5" t="inlineStr">
        <is>
          <t>fetisova_g@rdp.ru</t>
        </is>
      </c>
      <c r="J14" s="5" t="inlineStr">
        <is>
          <t>http://rdp.ru</t>
        </is>
      </c>
      <c r="K14" s="5" t="inlineStr">
        <is>
          <t>127083, Г.МОСКВА, МУНИЦИПАЛЬНЫЙ ОКРУГ АЭРОПОРТ, УЛ 8 МАРТА, Д. 1,СТР. 12, СТР. 12, ПОМЕЩ. 1/9</t>
        </is>
      </c>
      <c r="L14" s="6" t="n">
        <v>220</v>
      </c>
      <c r="M14" s="6" t="n">
        <v>2338690</v>
      </c>
      <c r="N14" s="6" t="n">
        <v>328221</v>
      </c>
      <c r="O14" s="6" t="n">
        <v>2570540</v>
      </c>
      <c r="P14" s="5"/>
      <c r="Q14" s="5"/>
    </row>
    <row collapsed="false" customFormat="false" customHeight="false" hidden="false" ht="12.1" outlineLevel="0" r="15">
      <c r="A15" s="4" t="s">
        <f>HYPERLINK("https://www.list-org.com/company/6531536","https://www.list-org.com/company/6531536")</f>
      </c>
      <c r="B15" s="5" t="inlineStr">
        <is>
          <t>ООО "МАЛЛЕНОМ СИСТЕМС"</t>
        </is>
      </c>
      <c r="C15" s="5" t="inlineStr">
        <is>
          <t>ОБЩЕСТВО С ОГРАНИЧЕННОЙ ОТВЕТСТВЕННОСТЬЮ "МАЛЛЕНОМ СИСТЕМС"</t>
        </is>
      </c>
      <c r="D15" s="5" t="inlineStr">
        <is>
          <t>действующее</t>
        </is>
      </c>
      <c r="E15" s="5" t="inlineStr">
        <is>
          <t>ЖИВИЦЯ АННА ЭДУАРДОВНА</t>
        </is>
      </c>
      <c r="F15" s="5" t="inlineStr">
        <is>
          <t>3528176030</t>
        </is>
      </c>
      <c r="G15" s="5" t="inlineStr">
        <is>
          <t>1113528001685</t>
        </is>
      </c>
      <c r="H15" s="5" t="inlineStr">
        <is>
          <t>+7 (8202) 29-60-71</t>
        </is>
      </c>
      <c r="I15" s="5" t="inlineStr">
        <is>
          <t>azhivitsya@mail.ru</t>
        </is>
      </c>
      <c r="J15" s="5" t="inlineStr">
        <is>
          <t>http://mallenom.ru</t>
        </is>
      </c>
      <c r="K15" s="5" t="inlineStr">
        <is>
          <t>162610, ВОЛОГОДСКАЯ ОБЛАСТЬ, Г. ЧЕРЕПОВЕЦ, УЛ. МЕТАЛЛУРГОВ, Д.21, К.Б</t>
        </is>
      </c>
      <c r="L15" s="6" t="n">
        <v>100</v>
      </c>
      <c r="M15" s="6" t="n">
        <v>187345</v>
      </c>
      <c r="N15" s="6" t="n">
        <v>1929</v>
      </c>
      <c r="O15" s="6" t="n">
        <v>110298</v>
      </c>
      <c r="P15" s="5"/>
      <c r="Q15" s="5"/>
    </row>
    <row collapsed="false" customFormat="false" customHeight="false" hidden="false" ht="12.1" outlineLevel="0" r="16">
      <c r="A16" s="4" t="s">
        <f>HYPERLINK("https://www.list-org.com/company/6589644","https://www.list-org.com/company/6589644")</f>
      </c>
      <c r="B16" s="5" t="inlineStr">
        <is>
          <t>ООО "СКИЛЛСТАФФ"</t>
        </is>
      </c>
      <c r="C16" s="5" t="inlineStr">
        <is>
          <t>ОБЩЕСТВО С ОГРАНИЧЕННОЙ ОТВЕТСТВЕННОСТЬЮ "СКИЛЛСТАФФ"</t>
        </is>
      </c>
      <c r="D16" s="5" t="inlineStr">
        <is>
          <t>действующее</t>
        </is>
      </c>
      <c r="E16" s="5" t="inlineStr">
        <is>
          <t>ХАЧИЯН АЛЕКСАНДР АРКАДЬЕВИЧ</t>
        </is>
      </c>
      <c r="F16" s="5" t="inlineStr">
        <is>
          <t>7728764477</t>
        </is>
      </c>
      <c r="G16" s="5" t="inlineStr">
        <is>
          <t>1117746133724</t>
        </is>
      </c>
      <c r="H16" s="5" t="inlineStr">
        <is>
          <t>+7 (804) 700-41-26</t>
        </is>
      </c>
      <c r="I16" s="5" t="inlineStr">
        <is>
          <t>visitstaff@skillstaff.ru</t>
        </is>
      </c>
      <c r="J16" s="5" t="inlineStr">
        <is>
          <t>https://skillstaff.ru</t>
        </is>
      </c>
      <c r="K16" s="5" t="inlineStr">
        <is>
          <t>119019, Г.Москва, ВНУТРИГОРОДСКАЯ ТЕРРИТОРИЯ ГОРОДА ФЕДЕРАЛЬНОГО ЗНАЧЕНИЯ МУНИЦИПАЛЬНЫЙ ОКРУГ АРБАТ, УЛ ВОЗДВИЖЕНКА, Д. 7/6</t>
        </is>
      </c>
      <c r="L16" s="6" t="n">
        <v>107</v>
      </c>
      <c r="M16" s="6" t="n">
        <v>1390000</v>
      </c>
      <c r="N16" s="6" t="n">
        <v>107976</v>
      </c>
      <c r="O16" s="6" t="n">
        <v>308694</v>
      </c>
      <c r="P16" s="5"/>
      <c r="Q16" s="5"/>
    </row>
    <row collapsed="false" customFormat="false" customHeight="false" hidden="false" ht="12.1" outlineLevel="0" r="17">
      <c r="A17" s="4" t="s">
        <f>HYPERLINK("https://www.list-org.com/company/6633960","https://www.list-org.com/company/6633960")</f>
      </c>
      <c r="B17" s="5" t="inlineStr">
        <is>
          <t>ООО "Иксолла"</t>
        </is>
      </c>
      <c r="C17" s="5" t="inlineStr">
        <is>
          <t>ОБЩЕСТВО С ОГРАНИЧЕННОЙ ОТВЕТСТВЕННОСТЬЮ "Иксолла"</t>
        </is>
      </c>
      <c r="D17" s="5" t="inlineStr">
        <is>
          <t>действующее</t>
        </is>
      </c>
      <c r="E17" s="5" t="inlineStr">
        <is>
          <t>ЧЕМОДАНОВА ВАЛЕНТИНА ИГОРЕВНА</t>
        </is>
      </c>
      <c r="F17" s="5" t="inlineStr">
        <is>
          <t>5902879646</t>
        </is>
      </c>
      <c r="G17" s="5" t="inlineStr">
        <is>
          <t>1115902006670</t>
        </is>
      </c>
      <c r="H17" s="5" t="inlineStr">
        <is>
          <t>+7 (342) 257-64-31</t>
        </is>
      </c>
      <c r="I17" s="5" t="inlineStr">
        <is>
          <t>support@xsolla.com</t>
        </is>
      </c>
      <c r="J17" s="5" t="inlineStr">
        <is>
          <t>https://xsolla.com</t>
        </is>
      </c>
      <c r="K17" s="5" t="inlineStr">
        <is>
          <t>614000, Пермский Край, Город Пермь, Проспект Комсомольский, Д. 1, ПОДЪЕЗД 2, ЭТАЖ/ОФИС 6/3</t>
        </is>
      </c>
      <c r="L17" s="6" t="n">
        <v>171</v>
      </c>
      <c r="M17" s="6" t="n">
        <v>13221700</v>
      </c>
      <c r="N17" s="6" t="n">
        <v>116387</v>
      </c>
      <c r="O17" s="6" t="n">
        <v>-287333</v>
      </c>
      <c r="P17" s="5"/>
      <c r="Q17" s="5"/>
    </row>
    <row collapsed="false" customFormat="false" customHeight="false" hidden="false" ht="12.1" outlineLevel="0" r="18">
      <c r="A18" s="4" t="s">
        <f>HYPERLINK("https://www.list-org.com/company/6780396","https://www.list-org.com/company/6780396")</f>
      </c>
      <c r="B18" s="5" t="inlineStr">
        <is>
          <t>ООО "СервисКлауд"</t>
        </is>
      </c>
      <c r="C18" s="5" t="inlineStr">
        <is>
          <t>ОБЩЕСТВО С ОГРАНИЧЕННОЙ ОТВЕТСТВЕННОСТЬЮ "СервисКлауд"</t>
        </is>
      </c>
      <c r="D18" s="5" t="inlineStr">
        <is>
          <t>действующее</t>
        </is>
      </c>
      <c r="E18" s="5" t="inlineStr">
        <is>
          <t>ЕГЕЛЬСКИЙ БОРИС АЛЕКСАНДРОВИЧ</t>
        </is>
      </c>
      <c r="F18" s="5" t="inlineStr">
        <is>
          <t>7104516184</t>
        </is>
      </c>
      <c r="G18" s="5" t="inlineStr">
        <is>
          <t>1117154024063</t>
        </is>
      </c>
      <c r="H18" s="5" t="inlineStr">
        <is>
          <t>+7 (4872) 70-00-07</t>
        </is>
      </c>
      <c r="I18" s="5" t="inlineStr">
        <is>
          <t>e.divak@scloud.ru</t>
        </is>
      </c>
      <c r="J18" s="5" t="inlineStr">
        <is>
          <t>http://scloud.ru</t>
        </is>
      </c>
      <c r="K18" s="5" t="inlineStr">
        <is>
          <t>300028, ТУЛЬСКАЯ ОБЛАСТЬ, Г. ТУЛА, УЛ. БОЛДИНА, Д.98, 545</t>
        </is>
      </c>
      <c r="L18" s="6" t="n">
        <v>236</v>
      </c>
      <c r="M18" s="6" t="n">
        <v>916550</v>
      </c>
      <c r="N18" s="6" t="n">
        <v>215539</v>
      </c>
      <c r="O18" s="6" t="n">
        <v>556436</v>
      </c>
      <c r="P18" s="5"/>
      <c r="Q18" s="5"/>
    </row>
    <row collapsed="false" customFormat="false" customHeight="false" hidden="false" ht="12.1" outlineLevel="0" r="19">
      <c r="A19" s="4" t="s">
        <f>HYPERLINK("https://www.list-org.com/company/7021950","https://www.list-org.com/company/7021950")</f>
      </c>
      <c r="B19" s="5" t="inlineStr">
        <is>
          <t>ООО "Напа Лабс"</t>
        </is>
      </c>
      <c r="C19" s="5" t="inlineStr">
        <is>
          <t>ОБЩЕСТВО С ОГРАНИЧЕННОЙ ОТВЕТСТВЕННОСТЬЮ "Напа Лабс"</t>
        </is>
      </c>
      <c r="D19" s="5" t="inlineStr">
        <is>
          <t>действующее</t>
        </is>
      </c>
      <c r="E19" s="5" t="inlineStr">
        <is>
          <t>ПИЩАЛЬНИКОВ КИРИЛЛ ВЛАДИМИРОВИЧ</t>
        </is>
      </c>
      <c r="F19" s="5" t="inlineStr">
        <is>
          <t>5902886033</t>
        </is>
      </c>
      <c r="G19" s="5" t="inlineStr">
        <is>
          <t>1125902001170</t>
        </is>
      </c>
      <c r="H19" s="5" t="inlineStr">
        <is>
          <t>+7 (342) 207-99-12</t>
        </is>
      </c>
      <c r="I19" s="5" t="inlineStr">
        <is>
          <t>info@napalabs.ru</t>
        </is>
      </c>
      <c r="J19" s="5" t="inlineStr">
        <is>
          <t>https://napalabs.ru</t>
        </is>
      </c>
      <c r="K19" s="5" t="inlineStr">
        <is>
          <t>614066, Пермский край, ГОРОДСКОЙ ОКРУГ ПЕРМСКИЙ, Г ПЕРМЬ, Ш КОСМОНАВТОВ, Д. 111Д, ОФИС 307</t>
        </is>
      </c>
      <c r="L19" s="6" t="n">
        <v>102</v>
      </c>
      <c r="M19" s="6" t="n">
        <v>308821</v>
      </c>
      <c r="N19" s="6" t="n">
        <v>67858</v>
      </c>
      <c r="O19" s="6" t="n">
        <v>144208</v>
      </c>
      <c r="P19" s="5"/>
      <c r="Q19" s="5"/>
    </row>
    <row collapsed="false" customFormat="false" customHeight="false" hidden="false" ht="12.1" outlineLevel="0" r="20">
      <c r="A20" s="4" t="s">
        <f>HYPERLINK("https://www.list-org.com/company/7061103","https://www.list-org.com/company/7061103")</f>
      </c>
      <c r="B20" s="5" t="inlineStr">
        <is>
          <t>ООО "ЭН+ ДИДЖИТАЛ"</t>
        </is>
      </c>
      <c r="C20" s="5" t="inlineStr">
        <is>
          <t>ОБЩЕСТВО С ОГРАНИЧЕННОЙ ОТВЕТСТВЕННОСТЬЮ "ЭН+ ДИДЖИТАЛ"</t>
        </is>
      </c>
      <c r="D20" s="5" t="inlineStr">
        <is>
          <t>действующее</t>
        </is>
      </c>
      <c r="E20" s="5" t="inlineStr">
        <is>
          <t>ЩЕГЛОВСКАЯ ЮЛИЯ АНДРЕЕВНА</t>
        </is>
      </c>
      <c r="F20" s="5" t="inlineStr">
        <is>
          <t>2446031899</t>
        </is>
      </c>
      <c r="G20" s="5" t="inlineStr">
        <is>
          <t>1122468022291</t>
        </is>
      </c>
      <c r="H20" s="5" t="inlineStr">
        <is>
          <t>+7 (39144) 6-34-82</t>
        </is>
      </c>
      <c r="I20" s="5" t="inlineStr">
        <is>
          <t>alexanderag@enplus.ru</t>
        </is>
      </c>
      <c r="J20" s="5" t="inlineStr">
        <is>
          <t>www.maremplus-k.ru</t>
        </is>
      </c>
      <c r="K20" s="5" t="inlineStr">
        <is>
          <t>664007, ИРКУТСКАЯ ОБЛАСТЬ, Г ИРКУТСК, УЛ НИЖНЯЯ НАБЕРЕЖНАЯ, Д. 14/1, ПОМЕЩ. 52</t>
        </is>
      </c>
      <c r="L20" s="6" t="n">
        <v>277</v>
      </c>
      <c r="M20" s="6" t="n">
        <v>869706</v>
      </c>
      <c r="N20" s="6" t="n">
        <v>33844</v>
      </c>
      <c r="O20" s="6" t="n">
        <v>315723</v>
      </c>
      <c r="P20" s="5"/>
      <c r="Q20" s="5"/>
    </row>
    <row collapsed="false" customFormat="false" customHeight="false" hidden="false" ht="12.1" outlineLevel="0" r="21">
      <c r="A21" s="4" t="s">
        <f>HYPERLINK("https://www.list-org.com/company/7220229","https://www.list-org.com/company/7220229")</f>
      </c>
      <c r="B21" s="5" t="inlineStr">
        <is>
          <t>ООО "РусИнТех Сервис"</t>
        </is>
      </c>
      <c r="C21" s="5" t="inlineStr">
        <is>
          <t>ОБЩЕСТВО С ОГРАНИЧЕННОЙ ОТВЕТСТВЕННОСТЬЮ "РусИнТех Сервис"</t>
        </is>
      </c>
      <c r="D21" s="5" t="inlineStr">
        <is>
          <t>действующее</t>
        </is>
      </c>
      <c r="E21" s="5" t="inlineStr">
        <is>
          <t>ЯКУШЕВ ИЛЬЯ СЕРГЕЕВИЧ</t>
        </is>
      </c>
      <c r="F21" s="5" t="inlineStr">
        <is>
          <t>5403339934</t>
        </is>
      </c>
      <c r="G21" s="5" t="inlineStr">
        <is>
          <t>1125476118822</t>
        </is>
      </c>
      <c r="H21" s="5" t="inlineStr">
        <is>
          <t>+7 (383) 352-34-14</t>
        </is>
      </c>
      <c r="I21" s="5" t="inlineStr">
        <is>
          <t>5403339934_540301001@eo.tensor.ru, doc@rit-it.com, buh@rit-it.com</t>
        </is>
      </c>
      <c r="J21" s="5" t="inlineStr">
        <is>
          <t>rit-it.ru</t>
        </is>
      </c>
      <c r="K21" s="5" t="inlineStr">
        <is>
          <t>630033, НОВОСИБИРСКАЯ ОБЛАСТЬ, ГОРОД НОВОСИБИРСК, Г НОВОСИБИРСК, Г НОВОСИБИРСК, УЛ ОЛОВОЗАВОДСКАЯ, ЗД. 47/9, ПОМЕЩ. 2</t>
        </is>
      </c>
      <c r="L21" s="6" t="n">
        <v>100</v>
      </c>
      <c r="M21" s="6" t="n">
        <v>355895</v>
      </c>
      <c r="N21" s="6" t="n">
        <v>1919</v>
      </c>
      <c r="O21" s="6" t="n">
        <v>107435</v>
      </c>
      <c r="P21" s="5"/>
      <c r="Q21" s="5"/>
    </row>
    <row collapsed="false" customFormat="false" customHeight="false" hidden="false" ht="12.1" outlineLevel="0" r="22">
      <c r="A22" s="4" t="s">
        <f>HYPERLINK("https://www.list-org.com/company/7528907","https://www.list-org.com/company/7528907")</f>
      </c>
      <c r="B22" s="5" t="inlineStr">
        <is>
          <t>ООО "СтендАп Инновации"</t>
        </is>
      </c>
      <c r="C22" s="5" t="inlineStr">
        <is>
          <t>ОБЩЕСТВО С ОГРАНИЧЕННОЙ ОТВЕТСТВЕННОСТЬЮ "СтендАп Инновации"</t>
        </is>
      </c>
      <c r="D22" s="5" t="inlineStr">
        <is>
          <t>действующее</t>
        </is>
      </c>
      <c r="E22" s="5" t="inlineStr">
        <is>
          <t>АНДРЕЕВ ДМИТРИЙ ОЛЕГОВИЧ</t>
        </is>
      </c>
      <c r="F22" s="5" t="inlineStr">
        <is>
          <t>7448159903</t>
        </is>
      </c>
      <c r="G22" s="5" t="inlineStr">
        <is>
          <t>1137448006376</t>
        </is>
      </c>
      <c r="H22" s="5" t="inlineStr">
        <is>
          <t>+7 (351) 792-00-05</t>
        </is>
      </c>
      <c r="I22" s="5" t="inlineStr">
        <is>
          <t>anddim@bk.ru</t>
        </is>
      </c>
      <c r="J22" s="5" t="inlineStr">
        <is>
          <t>playstand.ru</t>
        </is>
      </c>
      <c r="K22" s="5" t="inlineStr">
        <is>
          <t>454091, ЧЕЛЯБИНСКАЯ ОБЛАСТЬ, ЧЕЛЯБИНСКИЙ, Г ЧЕЛЯБИНСК, Г ЧЕЛЯБИНСК, УЛ ЦВИЛЛИНГА, Д. 16, ОФИС 1</t>
        </is>
      </c>
      <c r="L22" s="6" t="n">
        <v>122</v>
      </c>
      <c r="M22" s="6" t="n">
        <v>365382</v>
      </c>
      <c r="N22" s="6" t="n">
        <v>35702</v>
      </c>
      <c r="O22" s="6" t="n">
        <v>354905</v>
      </c>
      <c r="P22" s="5"/>
      <c r="Q22" s="5"/>
    </row>
    <row collapsed="false" customFormat="false" customHeight="false" hidden="false" ht="12.1" outlineLevel="0" r="23">
      <c r="A23" s="4" t="s">
        <f>HYPERLINK("https://www.list-org.com/company/7683242","https://www.list-org.com/company/7683242")</f>
      </c>
      <c r="B23" s="5" t="inlineStr">
        <is>
          <t>АО "ЕИРЦ ЛО"</t>
        </is>
      </c>
      <c r="C23" s="5" t="inlineStr">
        <is>
          <t>АКЦИОНЕРНОЕ ОБЩЕСТВО "ЕДИНЫЙ ИНФОРМАЦИОННО-РАСЧЕТНЫЙ ЦЕНТР ЛЕНИНГРАДСКОЙ ОБЛАСТИ"</t>
        </is>
      </c>
      <c r="D23" s="5" t="inlineStr">
        <is>
          <t>действующее</t>
        </is>
      </c>
      <c r="E23" s="5" t="inlineStr">
        <is>
          <t>АФАНАСЬЕВ СЕРГЕЙ ВЛАДИМИРОВИЧ</t>
        </is>
      </c>
      <c r="F23" s="5" t="inlineStr">
        <is>
          <t>4706034714</t>
        </is>
      </c>
      <c r="G23" s="5" t="inlineStr">
        <is>
          <t>1134706000791</t>
        </is>
      </c>
      <c r="H23" s="5" t="inlineStr">
        <is>
          <t>+7 (812) 630-20-10</t>
        </is>
      </c>
      <c r="I23" s="5" t="inlineStr">
        <is>
          <t>support@epd47.ru</t>
        </is>
      </c>
      <c r="J23" s="5" t="inlineStr">
        <is>
          <t>http://epd47.ru</t>
        </is>
      </c>
      <c r="K23" s="5" t="inlineStr">
        <is>
          <t>187340, ЛЕНИНГРАДСКАЯ ОБЛАСТЬ, КИРОВСКИЙ РАЙОН, ГОРОД КИРОВСК, БУЛЬВАР ПАРТИЗАНСКОЙ СЛАВЫ, Д. 5, ПОМЕЩ. 2-Н</t>
        </is>
      </c>
      <c r="L23" s="6" t="n">
        <v>352</v>
      </c>
      <c r="M23" s="6" t="n">
        <v>1018710</v>
      </c>
      <c r="N23" s="6" t="n">
        <v>130519</v>
      </c>
      <c r="O23" s="6" t="n">
        <v>446890</v>
      </c>
      <c r="P23" s="5"/>
      <c r="Q23" s="5"/>
    </row>
    <row collapsed="false" customFormat="false" customHeight="false" hidden="false" ht="12.1" outlineLevel="0" r="24">
      <c r="A24" s="4" t="s">
        <f>HYPERLINK("https://www.list-org.com/company/7809171","https://www.list-org.com/company/7809171")</f>
      </c>
      <c r="B24" s="5" t="inlineStr">
        <is>
          <t>ООО "НАПОПРАВКУ.РУ"</t>
        </is>
      </c>
      <c r="C24" s="5" t="inlineStr">
        <is>
          <t>ОБЩЕСТВО С ОГРАНИЧЕННОЙ ОТВЕТСТВЕННОСТЬЮ "НАПОПРАВКУ.РУ"</t>
        </is>
      </c>
      <c r="D24" s="5" t="inlineStr">
        <is>
          <t>действующее</t>
        </is>
      </c>
      <c r="E24" s="5" t="inlineStr">
        <is>
          <t>ПЕЧЕРСКИЙ АЛЕКСАНДР СЕРГЕЕВИЧ</t>
        </is>
      </c>
      <c r="F24" s="5" t="inlineStr">
        <is>
          <t>7801622126</t>
        </is>
      </c>
      <c r="G24" s="5" t="inlineStr">
        <is>
          <t>1147847038679</t>
        </is>
      </c>
      <c r="H24" s="5" t="inlineStr">
        <is>
          <t>+7 (812) 740-62-90</t>
        </is>
      </c>
      <c r="I24" s="5" t="inlineStr">
        <is>
          <t>o.dreytser@napopravku.ru, p.lavrenteva@napopravku.ru</t>
        </is>
      </c>
      <c r="J24" s="5" t="inlineStr">
        <is>
          <t>http://spb.napopravku.ru</t>
        </is>
      </c>
      <c r="K24" s="5" t="inlineStr">
        <is>
          <t>199178, Г.САНКТ-ПЕТЕРБУРГ, ЛН. 7-Я В.О., Д. 76, ЛИТЕР А, ПОМЕЩ. 45-Н, 4 ЭТ., ОФ. 402</t>
        </is>
      </c>
      <c r="L24" s="6" t="n">
        <v>139</v>
      </c>
      <c r="M24" s="6" t="n">
        <v>541185</v>
      </c>
      <c r="N24" s="6" t="n">
        <v>24394</v>
      </c>
      <c r="O24" s="6" t="n">
        <v>321437</v>
      </c>
      <c r="P24" s="5"/>
      <c r="Q24" s="5"/>
    </row>
    <row collapsed="false" customFormat="false" customHeight="false" hidden="false" ht="12.1" outlineLevel="0" r="25">
      <c r="A25" s="4" t="s">
        <f>HYPERLINK("https://www.list-org.com/company/7878607","https://www.list-org.com/company/7878607")</f>
      </c>
      <c r="B25" s="5" t="inlineStr">
        <is>
          <t>ООО "ЕРИЦ ВЛАДИМИРСКОЙ ОБЛАСТИ"</t>
        </is>
      </c>
      <c r="C25" s="5" t="inlineStr">
        <is>
          <t>ОБЩЕСТВО С ОГРАНИЧЕННОЙ ОТВЕТСТВЕННОСТЬЮ "ЕДИНЫЙ РАСЧЕТНО-ИНФОРМАЦИОННЫЙ ЦЕНТР ВЛАДИМИРСКОЙ ОБЛАСТИ"</t>
        </is>
      </c>
      <c r="D25" s="5" t="inlineStr">
        <is>
          <t>действующее</t>
        </is>
      </c>
      <c r="E25" s="5" t="inlineStr">
        <is>
          <t>ОЛЬХОВ ВЛАДИМИР ВИКТОРОВИЧ</t>
        </is>
      </c>
      <c r="F25" s="5" t="inlineStr">
        <is>
          <t>3328496339</t>
        </is>
      </c>
      <c r="G25" s="5" t="inlineStr">
        <is>
          <t>1143328002400</t>
        </is>
      </c>
      <c r="H25" s="5" t="inlineStr">
        <is>
          <t>+7 (919) 023-72-59</t>
        </is>
      </c>
      <c r="I25" s="5" t="inlineStr">
        <is>
          <t>bnd@eric33.ru, info@eric33.ru, support@eric33.ru</t>
        </is>
      </c>
      <c r="J25" s="5" t="inlineStr">
        <is>
          <t>eric33.ru</t>
        </is>
      </c>
      <c r="K25" s="5" t="inlineStr">
        <is>
          <t>600000, Владимирская область, ГОРОДСКОЙ ОКРУГ ГОРОД ВЛАДИМИР, Г ВЛАДИМИР, УЛ КНЯГИНИНСКАЯ, Д. 7</t>
        </is>
      </c>
      <c r="L25" s="6" t="n">
        <v>114</v>
      </c>
      <c r="M25" s="6" t="n">
        <v>197949</v>
      </c>
      <c r="N25" s="6" t="n">
        <v>6189</v>
      </c>
      <c r="O25" s="6" t="n">
        <v>12362</v>
      </c>
      <c r="P25" s="5"/>
      <c r="Q25" s="5"/>
    </row>
    <row collapsed="false" customFormat="false" customHeight="false" hidden="false" ht="12.1" outlineLevel="0" r="26">
      <c r="A26" s="4" t="s">
        <f>HYPERLINK("https://www.list-org.com/company/7962344","https://www.list-org.com/company/7962344")</f>
      </c>
      <c r="B26" s="5" t="inlineStr">
        <is>
          <t>ООО "Гриндата"</t>
        </is>
      </c>
      <c r="C26" s="5" t="inlineStr">
        <is>
          <t>ОБЩЕСТВО С ОГРАНИЧЕННОЙ ОТВЕТСТВЕННОСТЬЮ "ГРИНДАТА"</t>
        </is>
      </c>
      <c r="D26" s="5" t="inlineStr">
        <is>
          <t>действующее</t>
        </is>
      </c>
      <c r="E26" s="5" t="inlineStr">
        <is>
          <t>АРХИПОВ АНДРЕЙ ВАЛЕРЬЕВИЧ</t>
        </is>
      </c>
      <c r="F26" s="5" t="inlineStr">
        <is>
          <t>5906855741</t>
        </is>
      </c>
      <c r="G26" s="5" t="inlineStr">
        <is>
          <t>1145958041900</t>
        </is>
      </c>
      <c r="H26" s="5" t="inlineStr">
        <is>
          <t>+7 (495) 677-97-77</t>
        </is>
      </c>
      <c r="I26" s="5" t="inlineStr">
        <is>
          <t>mail@greendatasoft.ru, info@greendata.store</t>
        </is>
      </c>
      <c r="J26" s="5" t="inlineStr">
        <is>
          <t>greendata.store</t>
        </is>
      </c>
      <c r="K26" s="5" t="inlineStr">
        <is>
          <t>614002, Пермский край, ГОРОДСКОЙ ОКРУГ ПЕРМСКИЙ, Г ПЕРМЬ, УЛ БЕЛИНСКОГО, Д. 31, ОФИС 11</t>
        </is>
      </c>
      <c r="L26" s="6" t="n">
        <v>273</v>
      </c>
      <c r="M26" s="6" t="n">
        <v>1235250</v>
      </c>
      <c r="N26" s="6" t="n">
        <v>41336</v>
      </c>
      <c r="O26" s="6" t="n">
        <v>478557</v>
      </c>
      <c r="P26" s="5"/>
      <c r="Q26" s="5"/>
    </row>
    <row collapsed="false" customFormat="false" customHeight="false" hidden="false" ht="12.1" outlineLevel="0" r="27">
      <c r="A27" s="4" t="s">
        <f>HYPERLINK("https://www.list-org.com/company/7981369","https://www.list-org.com/company/7981369")</f>
      </c>
      <c r="B27" s="5" t="inlineStr">
        <is>
          <t>ООО "ИБС УЛЬЯНОВСК"</t>
        </is>
      </c>
      <c r="C27" s="5" t="inlineStr">
        <is>
          <t>ОБЩЕСТВО С ОГРАНИЧЕННОЙ ОТВЕТСТВЕННОСТЬЮ "ИБС УЛЬЯНОВСК"</t>
        </is>
      </c>
      <c r="D27" s="5" t="inlineStr">
        <is>
          <t>действующее</t>
        </is>
      </c>
      <c r="E27" s="5" t="inlineStr">
        <is>
          <t>МАКУРОВА ИРИНА ВЛАДИМИРОВНА</t>
        </is>
      </c>
      <c r="F27" s="5" t="inlineStr">
        <is>
          <t>7325131111</t>
        </is>
      </c>
      <c r="G27" s="5" t="inlineStr">
        <is>
          <t>1147325005332</t>
        </is>
      </c>
      <c r="H27" s="5" t="inlineStr">
        <is>
          <t>+7 (8422) 37-06-46</t>
        </is>
      </c>
      <c r="I27" s="5" t="inlineStr">
        <is>
          <t>gchernyaeva@ibs.ru</t>
        </is>
      </c>
      <c r="J27" s="5" t="inlineStr">
        <is>
          <t>https://ibs.ru</t>
        </is>
      </c>
      <c r="K27" s="5" t="inlineStr">
        <is>
          <t>432063, УЛЬЯНОВСКАЯ ОБЛАСТЬ, ГОРОД УЛЬЯНОВСК, ПЕРЕУЛОК КОМСОМОЛЬСКИЙ, Д. 22, ЭТАЖ 3</t>
        </is>
      </c>
      <c r="L27" s="6" t="n">
        <v>321</v>
      </c>
      <c r="M27" s="6" t="n">
        <v>21745</v>
      </c>
      <c r="N27" s="6" t="n">
        <v>1055230</v>
      </c>
      <c r="O27" s="6" t="n">
        <v>528502</v>
      </c>
      <c r="P27" s="5"/>
      <c r="Q27" s="5"/>
    </row>
    <row collapsed="false" customFormat="false" customHeight="false" hidden="false" ht="12.1" outlineLevel="0" r="28">
      <c r="A28" s="4" t="s">
        <f>HYPERLINK("https://www.list-org.com/company/8080205","https://www.list-org.com/company/8080205")</f>
      </c>
      <c r="B28" s="5" t="inlineStr">
        <is>
          <t>ООО "СЕВСТАР ИСПС"</t>
        </is>
      </c>
      <c r="C28" s="5" t="inlineStr">
        <is>
          <t>ОБЩЕСТВО С ОГРАНИЧЕННОЙ ОТВЕТСТВЕННОСТЬЮ "СЕВСТАР ИСПС"</t>
        </is>
      </c>
      <c r="D28" s="5" t="inlineStr">
        <is>
          <t>действующее</t>
        </is>
      </c>
      <c r="E28" s="5" t="inlineStr">
        <is>
          <t>ВАСЕЧКО КОНСТАНТИН ВЛАДИМИРОВИЧ</t>
        </is>
      </c>
      <c r="F28" s="5" t="inlineStr">
        <is>
          <t>9201003689</t>
        </is>
      </c>
      <c r="G28" s="5" t="inlineStr">
        <is>
          <t>1149204010966</t>
        </is>
      </c>
      <c r="H28" s="5" t="inlineStr">
        <is>
          <t>+7 (0692) 93-30-00</t>
        </is>
      </c>
      <c r="I28" s="5" t="inlineStr">
        <is>
          <t>help@sevstar.net,job@sevstar.net</t>
        </is>
      </c>
      <c r="J28" s="5" t="inlineStr">
        <is>
          <t>https://sevstar.net</t>
        </is>
      </c>
      <c r="K28" s="5" t="inlineStr">
        <is>
          <t>299020, Г.СЕВАСТОПОЛЬ , УЛ ХРУСТАЛЕВА, ЗД. 74А</t>
        </is>
      </c>
      <c r="L28" s="6" t="n">
        <v>352</v>
      </c>
      <c r="M28" s="6" t="n">
        <v>612271</v>
      </c>
      <c r="N28" s="6" t="n">
        <v>35240</v>
      </c>
      <c r="O28" s="6" t="n">
        <v>255456</v>
      </c>
      <c r="P28" s="5"/>
      <c r="Q28" s="5"/>
    </row>
    <row collapsed="false" customFormat="false" customHeight="false" hidden="false" ht="12.1" outlineLevel="0" r="29">
      <c r="A29" s="4" t="s">
        <f>HYPERLINK("https://www.list-org.com/company/9340872","https://www.list-org.com/company/9340872")</f>
      </c>
      <c r="B29" s="5" t="inlineStr">
        <is>
          <t>ООО "ЛАБОРАТОРИЯ ТЕХНОЛОГИЙ"</t>
        </is>
      </c>
      <c r="C29" s="5" t="inlineStr">
        <is>
          <t>ОБЩЕСТВО С ОГРАНИЧЕННОЙ ОТВЕТСТВЕННОСТЬЮ "ЛАБОРАТОРИЯ ТЕХНОЛОГИЙ"</t>
        </is>
      </c>
      <c r="D29" s="5" t="inlineStr">
        <is>
          <t>действующее</t>
        </is>
      </c>
      <c r="E29" s="5" t="inlineStr">
        <is>
          <t>ГОРИН МАКСИМ СЕРГЕЕВИЧ</t>
        </is>
      </c>
      <c r="F29" s="5" t="inlineStr">
        <is>
          <t>7706444191</t>
        </is>
      </c>
      <c r="G29" s="5" t="inlineStr">
        <is>
          <t>5167746370754</t>
        </is>
      </c>
      <c r="H29" s="5" t="inlineStr">
        <is>
          <t>+7 (495) 748-01-23</t>
        </is>
      </c>
      <c r="I29" s="5" t="inlineStr">
        <is>
          <t>teh@1cbit.ru</t>
        </is>
      </c>
      <c r="J29" s="5" t="inlineStr">
        <is>
          <t>https://www.1cbit.ru</t>
        </is>
      </c>
      <c r="K29" s="5" t="inlineStr">
        <is>
          <t>117342, Г.Москва, ВНУТРИГОРОДСКАЯ ТЕРРИТОРИЯ ГОРОДА ФЕДЕРАЛЬНОГО ЗНАЧЕНИЯ МУНИЦИПАЛЬНЫЙ ОКРУГ КОНЬКОВО, УЛ БУТЛЕРОВА, Д. 17Б, ПОМЕЩ. 60Е/11/2</t>
        </is>
      </c>
      <c r="L29" s="6" t="n">
        <v>139</v>
      </c>
      <c r="M29" s="6" t="n">
        <v>1642290</v>
      </c>
      <c r="N29" s="6" t="n">
        <v>32954</v>
      </c>
      <c r="O29" s="6" t="n">
        <v>33054</v>
      </c>
      <c r="P29" s="5"/>
      <c r="Q29" s="5"/>
    </row>
    <row collapsed="false" customFormat="false" customHeight="false" hidden="false" ht="12.1" outlineLevel="0" r="30">
      <c r="A30" s="4" t="s">
        <f>HYPERLINK("https://www.list-org.com/company/9394185","https://www.list-org.com/company/9394185")</f>
      </c>
      <c r="B30" s="5" t="inlineStr">
        <is>
          <t>ООО "СКБ ЛАБ"</t>
        </is>
      </c>
      <c r="C30" s="5" t="inlineStr">
        <is>
          <t>ОБЩЕСТВО С ОГРАНИЧЕННОЙ ОТВЕТСТВЕННОСТЬЮ "СКБ ЛАБ"</t>
        </is>
      </c>
      <c r="D30" s="5" t="inlineStr">
        <is>
          <t>действующее</t>
        </is>
      </c>
      <c r="E30" s="5" t="inlineStr">
        <is>
          <t>САВИНЫХ АНДРЕЙ СЕРГЕЕВИЧ</t>
        </is>
      </c>
      <c r="F30" s="5" t="inlineStr">
        <is>
          <t>6685124446</t>
        </is>
      </c>
      <c r="G30" s="5" t="inlineStr">
        <is>
          <t>1169658145381</t>
        </is>
      </c>
      <c r="H30" s="5" t="inlineStr">
        <is>
          <t>+7 (343) 355-81-00</t>
        </is>
      </c>
      <c r="I30" s="5" t="inlineStr">
        <is>
          <t>hr@skblab.ru</t>
        </is>
      </c>
      <c r="J30" s="5" t="inlineStr">
        <is>
          <t>https://skblab.ru</t>
        </is>
      </c>
      <c r="K30" s="5" t="inlineStr">
        <is>
          <t>620026, СВЕРДЛОВСКАЯ ОБЛАСТЬ, ГОРОД ЕКАТЕРИНБУРГ, УЛИЦА КУЙБЫШЕВА, ОФИС 321</t>
        </is>
      </c>
      <c r="L30" s="6" t="n">
        <v>198</v>
      </c>
      <c r="M30" s="6" t="n">
        <v>611637</v>
      </c>
      <c r="N30" s="6" t="n">
        <v>95050</v>
      </c>
      <c r="O30" s="6" t="n">
        <v>602468</v>
      </c>
      <c r="P30" s="5"/>
      <c r="Q30" s="5"/>
    </row>
    <row collapsed="false" customFormat="false" customHeight="false" hidden="false" ht="12.1" outlineLevel="0" r="31">
      <c r="A31" s="4" t="s">
        <f>HYPERLINK("https://www.list-org.com/company/12226600","https://www.list-org.com/company/12226600")</f>
      </c>
      <c r="B31" s="5" t="inlineStr">
        <is>
          <t>ООО "КОГНИТИВ РОБОТИКС"</t>
        </is>
      </c>
      <c r="C31" s="5" t="inlineStr">
        <is>
          <t>ОБЩЕСТВО С ОГРАНИЧЕННОЙ ОТВЕТСТВЕННОСТЬЮ "КОГНИТИВ РОБОТИКС"</t>
        </is>
      </c>
      <c r="D31" s="5" t="inlineStr">
        <is>
          <t>действующее</t>
        </is>
      </c>
      <c r="E31" s="5" t="inlineStr">
        <is>
          <t>УСКОВА ОЛЬГА АНАТОЛИЕВНА</t>
        </is>
      </c>
      <c r="F31" s="5" t="inlineStr">
        <is>
          <t>9718131366</t>
        </is>
      </c>
      <c r="G31" s="5" t="inlineStr">
        <is>
          <t>1197746164505</t>
        </is>
      </c>
      <c r="H31" s="5" t="inlineStr">
        <is>
          <t>+7 (800) 500-48-05</t>
        </is>
      </c>
      <c r="I31" s="5" t="inlineStr">
        <is>
          <t>info@cognitive.ru</t>
        </is>
      </c>
      <c r="J31" s="5" t="inlineStr">
        <is>
          <t>https://cognitive.ru</t>
        </is>
      </c>
      <c r="K31" s="5" t="inlineStr">
        <is>
          <t>107113, Г.МОСКВА, УЛ. 3-Я РЫБИНСКАЯ, Д. 17, КОМ. 2.3 ОФИС 1 2ЭТ</t>
        </is>
      </c>
      <c r="L31" s="6" t="n">
        <v>157</v>
      </c>
      <c r="M31" s="6" t="n">
        <v>180583</v>
      </c>
      <c r="N31" s="6" t="n">
        <v>-215385</v>
      </c>
      <c r="O31" s="6" t="n">
        <v>616381</v>
      </c>
      <c r="P31" s="5"/>
      <c r="Q31" s="5"/>
    </row>
    <row collapsed="false" customFormat="false" customHeight="false" hidden="false" ht="12.1" outlineLevel="0" r="32">
      <c r="A32" s="4" t="s">
        <f>HYPERLINK("https://www.list-org.com/company/12481905","https://www.list-org.com/company/12481905")</f>
      </c>
      <c r="B32" s="5" t="inlineStr">
        <is>
          <t>ООО "СКИЛФЭКТОРИ"</t>
        </is>
      </c>
      <c r="C32" s="5" t="inlineStr">
        <is>
          <t>ОБЩЕСТВО С ОГРАНИЧЕННОЙ ОТВЕТСТВЕННОСТЬЮ "СКИЛФЭКТОРИ"</t>
        </is>
      </c>
      <c r="D32" s="5" t="inlineStr">
        <is>
          <t>действующее</t>
        </is>
      </c>
      <c r="E32" s="5" t="inlineStr">
        <is>
          <t>УПРАВЛЯЮЩАЯ КОМПАНИЯ ОБЩЕСТВО С ОГРАНИЧЕННОЙ ОТВЕТСТВЕННОСТЬЮ "СКИЛБОКС"</t>
        </is>
      </c>
      <c r="F32" s="5" t="inlineStr">
        <is>
          <t>9702009530</t>
        </is>
      </c>
      <c r="G32" s="5" t="inlineStr">
        <is>
          <t>1197746648813</t>
        </is>
      </c>
      <c r="H32" s="5" t="inlineStr">
        <is>
          <t>+7 (800) 301-56-88</t>
        </is>
      </c>
      <c r="I32" s="5" t="inlineStr">
        <is>
          <t>info@skillfactory.ru</t>
        </is>
      </c>
      <c r="J32" s="5" t="inlineStr">
        <is>
          <t>https://skillfactory.ru</t>
        </is>
      </c>
      <c r="K32" s="5" t="inlineStr">
        <is>
          <t>119049, Г.Москва, ВНУТРИГОРОДСКАЯ ТЕРРИТОРИЯ ГОРОДА ФЕДЕРАЛЬНОГО ЗНАЧЕНИЯ МУНИЦИПАЛЬНЫЙ ОКРУГ ЯКИМАНКА, ПР-КТ ЛЕНИНСКИЙ, Д. 6, ЭТАЖ 3, КОМ. 21</t>
        </is>
      </c>
      <c r="L32" s="6" t="n">
        <v>287</v>
      </c>
      <c r="M32" s="6" t="n">
        <v>919881</v>
      </c>
      <c r="N32" s="6" t="n">
        <v>-942050</v>
      </c>
      <c r="O32" s="6" t="n">
        <v>-2692430</v>
      </c>
      <c r="P32" s="5"/>
      <c r="Q32" s="5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2025-12-11T11:31:35.00Z</dcterms:created>
  <dc:title/>
  <dc:subject/>
  <dc:creator/>
  <dc:description/>
  <cp:revision>0</cp:revision>
</cp:coreProperties>
</file>