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color rgb="FF5C0303"/>
      <b val="true"/>
    </font>
    <font>
      <name val="Arial"/>
      <charset val="1"/>
      <family val="2"/>
      <sz val="10"/>
      <color rgb="FF4D4DA7"/>
      <u val="single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hair"/>
      <right style="hair"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7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37"/>
    <col collapsed="false" hidden="false" max="2" min="2" style="0" customWidth="true" width="30"/>
    <col collapsed="false" hidden="false" max="3" min="3" style="0" customWidth="true" width="70"/>
    <col collapsed="false" hidden="false" max="4" min="4" style="0" customWidth="true" width="15"/>
    <col collapsed="false" hidden="false" max="5" min="5" style="0" customWidth="true" width="40"/>
    <col collapsed="false" hidden="false" max="6" min="6" style="0" customWidth="true" width="15"/>
    <col collapsed="false" hidden="false" max="7" min="7" style="0" customWidth="true" width="17"/>
    <col collapsed="false" hidden="false" max="8" min="8" style="0" customWidth="true" width="17"/>
    <col collapsed="false" hidden="false" max="9" min="9" style="0" customWidth="true" width="15"/>
    <col collapsed="false" hidden="false" max="10" min="10" style="0" customWidth="true" width="15"/>
    <col collapsed="false" hidden="false" max="11" min="11" style="0" customWidth="true" width="80"/>
    <col collapsed="false" hidden="false" max="12" min="12" style="0" customWidth="true" width="15"/>
    <col collapsed="false" hidden="false" max="13" min="13" style="0" customWidth="true" width="20"/>
    <col collapsed="false" hidden="false" max="14" min="14" style="0" customWidth="true" width="20"/>
    <col collapsed="false" hidden="false" max="15" min="15" style="0" customWidth="true" width="20"/>
    <col collapsed="false" hidden="false" max="1024" min="16" style="0" customWidth="false" width="11.5"/>
  </cols>
  <sheetData>
    <row collapsed="false" customFormat="false" customHeight="false" hidden="false" ht="12.1" outlineLevel="0" r="1">
      <c r="A1" s="3" t="inlineStr">
        <is>
          <t>Ссылка на www.list-org.com</t>
        </is>
      </c>
      <c r="B1" s="3" t="inlineStr">
        <is>
          <t>Наименование</t>
        </is>
      </c>
      <c r="C1" s="3" t="inlineStr">
        <is>
          <t>Юридическое наименование</t>
        </is>
      </c>
      <c r="D1" s="3" t="inlineStr">
        <is>
          <t>Статус</t>
        </is>
      </c>
      <c r="E1" s="3" t="inlineStr">
        <is>
          <t>Руководитель</t>
        </is>
      </c>
      <c r="F1" s="3" t="inlineStr">
        <is>
          <t>ИНН</t>
        </is>
      </c>
      <c r="G1" s="3" t="inlineStr">
        <is>
          <t>ОГРН</t>
        </is>
      </c>
      <c r="H1" s="3" t="inlineStr">
        <is>
          <t>Телефон (один из)</t>
        </is>
      </c>
      <c r="I1" s="3" t="inlineStr">
        <is>
          <t>E-mail</t>
        </is>
      </c>
      <c r="J1" s="3" t="inlineStr">
        <is>
          <t>Сайт</t>
        </is>
      </c>
      <c r="K1" s="3" t="inlineStr">
        <is>
          <t>Юридический адрес</t>
        </is>
      </c>
      <c r="L1" s="3" t="inlineStr">
        <is>
          <t>Сотрудников</t>
        </is>
      </c>
      <c r="M1" s="3" t="inlineStr">
        <is>
          <t>Выручка (Ф2.2110)</t>
        </is>
      </c>
      <c r="N1" s="3" t="inlineStr">
        <is>
          <t>Прибыль (Ф2.2400)</t>
        </is>
      </c>
      <c r="O1" s="3" t="inlineStr">
        <is>
          <t>Стоимость (Ф1.1300)</t>
        </is>
      </c>
      <c r="P1" s="3" t="inlineStr">
        <is>
          <t>Описание</t>
        </is>
      </c>
      <c r="Q1" s="3" t="inlineStr">
        <is>
          <t>В избранном</t>
        </is>
      </c>
    </row>
    <row collapsed="false" customFormat="false" customHeight="false" hidden="false" ht="12.1" outlineLevel="0" r="2">
      <c r="A2" s="4" t="s">
        <f>HYPERLINK("https://www.list-org.com/company/133948","https://www.list-org.com/company/133948")</f>
      </c>
      <c r="B2" s="5" t="inlineStr">
        <is>
          <t>ООО "РЕКСОФТ"</t>
        </is>
      </c>
      <c r="C2" s="5" t="inlineStr">
        <is>
          <t>ОБЩЕСТВО С ОГРАНИЧЕННОЙ ОТВЕТСТВЕННОСТЬЮ "РЕКСОФТ"</t>
        </is>
      </c>
      <c r="D2" s="5" t="inlineStr">
        <is>
          <t>действующее</t>
        </is>
      </c>
      <c r="E2" s="5" t="inlineStr">
        <is>
          <t>Егоров Александр Геннадьевич</t>
        </is>
      </c>
      <c r="F2" s="5" t="inlineStr">
        <is>
          <t>7802020639</t>
        </is>
      </c>
      <c r="G2" s="5" t="inlineStr">
        <is>
          <t>1027801578628</t>
        </is>
      </c>
      <c r="H2" s="5" t="inlineStr">
        <is>
          <t>+7 (812) 325-21-00</t>
        </is>
      </c>
      <c r="I2" s="5" t="inlineStr">
        <is>
          <t>7802020639_780201001@eo.tensor.ru, osmirnova@reksoft.ru</t>
        </is>
      </c>
      <c r="J2" s="5" t="inlineStr">
        <is>
          <t>www.reksoft.ru</t>
        </is>
      </c>
      <c r="K2" s="5" t="inlineStr">
        <is>
          <t>197022, Г.САНКТ-ПЕТЕРБУРГ, ПР-КТ МЕДИКОВ, Д. 3, ЛИТЕР А, ПОМЕЩ. 4Н, ОФИС 310</t>
        </is>
      </c>
      <c r="L2" s="6" t="n">
        <v>426</v>
      </c>
      <c r="M2" s="6" t="n">
        <v>2378940</v>
      </c>
      <c r="N2" s="6" t="n">
        <v>-772037</v>
      </c>
      <c r="O2" s="6" t="n">
        <v>-974255</v>
      </c>
      <c r="P2" s="5"/>
      <c r="Q2" s="5"/>
    </row>
    <row collapsed="false" customFormat="false" customHeight="false" hidden="false" ht="12.1" outlineLevel="0" r="3">
      <c r="A3" s="4" t="s">
        <f>HYPERLINK("https://www.list-org.com/company/145547","https://www.list-org.com/company/145547")</f>
      </c>
      <c r="B3" s="5" t="inlineStr">
        <is>
          <t>ФГУП "ЗАЩИТАИНФОТРАНС"</t>
        </is>
      </c>
      <c r="C3" s="5" t="inlineStr">
        <is>
          <t>ФЕДЕРАЛЬНОЕ ГОСУДАРСТВЕННОЕ УНИТАРНОЕ ПРЕДПРИЯТИЕ "ЗАЩИТАИНФОТРАНС МИНИСТЕРСТВА ТРАНСПОРТА РОССИЙСКОЙ ФЕДЕРАЦИИ"</t>
        </is>
      </c>
      <c r="D3" s="5" t="inlineStr">
        <is>
          <t>действующее</t>
        </is>
      </c>
      <c r="E3" s="5" t="inlineStr">
        <is>
          <t>ПЕРЕВАЛОВ ИЛЬЯ ВЛАДИМИРОВИЧ</t>
        </is>
      </c>
      <c r="F3" s="5" t="inlineStr">
        <is>
          <t>7708083600</t>
        </is>
      </c>
      <c r="G3" s="5" t="inlineStr">
        <is>
          <t>1027739499567</t>
        </is>
      </c>
      <c r="H3" s="5" t="inlineStr">
        <is>
          <t>+7 (495) 380-21-50</t>
        </is>
      </c>
      <c r="I3" s="5" t="inlineStr">
        <is>
          <t>m.galeeva@z-it.ru, n.zhuravleva@mail.ru, n.zhuravleva@z-it.ru, gosuslugi@z-it.ru</t>
        </is>
      </c>
      <c r="J3" s="5" t="inlineStr">
        <is>
          <t>www.z-it.ru</t>
        </is>
      </c>
      <c r="K3" s="5" t="inlineStr">
        <is>
          <t>117105, Г.МОСКВА, Ш. ВАРШАВСКОЕ, Д. 9, СТР. 1, КОРПУС МЕЩЕРИН АНТРЕСОЛЬ МАНСАРДЫ ПОМ 664</t>
        </is>
      </c>
      <c r="L3" s="6" t="n">
        <v>166</v>
      </c>
      <c r="M3" s="6" t="n">
        <v>2201990</v>
      </c>
      <c r="N3" s="6" t="n">
        <v>-118701</v>
      </c>
      <c r="O3" s="6" t="n">
        <v>239769</v>
      </c>
      <c r="P3" s="5"/>
      <c r="Q3" s="5"/>
    </row>
    <row collapsed="false" customFormat="false" customHeight="false" hidden="false" ht="12.1" outlineLevel="0" r="4">
      <c r="A4" s="4" t="s">
        <f>HYPERLINK("https://www.list-org.com/company/147236","https://www.list-org.com/company/147236")</f>
      </c>
      <c r="B4" s="5" t="inlineStr">
        <is>
          <t>АО "HПО ОПЫТ"</t>
        </is>
      </c>
      <c r="C4" s="5" t="inlineStr">
        <is>
          <t>АКЦИОНЕРНОЕ ОБЩЕСТВО  "HПО ОПЫТ"</t>
        </is>
      </c>
      <c r="D4" s="5" t="inlineStr">
        <is>
          <t>действующее</t>
        </is>
      </c>
      <c r="E4" s="5" t="inlineStr">
        <is>
          <t>СТОРОЖИЛОВА ВАЛЕРИЯ ЭДУАРДОВНА</t>
        </is>
      </c>
      <c r="F4" s="5" t="inlineStr">
        <is>
          <t>7714102360</t>
        </is>
      </c>
      <c r="G4" s="5" t="inlineStr">
        <is>
          <t>1037739223961</t>
        </is>
      </c>
      <c r="H4" s="5" t="inlineStr">
        <is>
          <t>+7 (495) 723-15-14</t>
        </is>
      </c>
      <c r="I4" s="5" t="inlineStr">
        <is>
          <t>dpotemkin@elar.ru, eshcherbakova@elar.ru, info@opit.ru, nroshchenko@elar.ru, office@elar.ru</t>
        </is>
      </c>
      <c r="J4" s="5" t="inlineStr">
        <is>
          <t>www.opyt.ru</t>
        </is>
      </c>
      <c r="K4" s="5" t="inlineStr">
        <is>
          <t>125040, Г.МОСКВА, УЛ. ПРАВДЫ, Д. 8, К. 3, ЭТ/ПОМ 1/IVА</t>
        </is>
      </c>
      <c r="L4" s="6" t="n">
        <v>135</v>
      </c>
      <c r="M4" s="6" t="n">
        <v>451563</v>
      </c>
      <c r="N4" s="6" t="n">
        <v>85003</v>
      </c>
      <c r="O4" s="6" t="n">
        <v>85056</v>
      </c>
      <c r="P4" s="5"/>
      <c r="Q4" s="5"/>
    </row>
    <row collapsed="false" customFormat="false" customHeight="false" hidden="false" ht="12.1" outlineLevel="0" r="5">
      <c r="A5" s="4" t="s">
        <f>HYPERLINK("https://www.list-org.com/company/148094","https://www.list-org.com/company/148094")</f>
      </c>
      <c r="B5" s="5" t="inlineStr">
        <is>
          <t>ООО "ВНЕДРЕНЧЕСКИЙ ЦЕНТР"</t>
        </is>
      </c>
      <c r="C5" s="5" t="inlineStr">
        <is>
          <t>ОБЩЕСТВО С ОГРАНИЧЕННОЙ ОТВЕТСТВЕННОСТЬЮ "ВНЕДРЕНЧЕСКИЙ ЦЕНТР"</t>
        </is>
      </c>
      <c r="D5" s="5" t="inlineStr">
        <is>
          <t>действующее</t>
        </is>
      </c>
      <c r="E5" s="5" t="inlineStr">
        <is>
          <t>КАЗАЧКОВ ДМИТРИЙ ИОСИФОВИЧ</t>
        </is>
      </c>
      <c r="F5" s="5" t="inlineStr">
        <is>
          <t>7710225450</t>
        </is>
      </c>
      <c r="G5" s="5" t="inlineStr">
        <is>
          <t>1027739861467</t>
        </is>
      </c>
      <c r="H5" s="5" t="inlineStr">
        <is>
          <t>+7 (495) 250-63-83</t>
        </is>
      </c>
      <c r="I5" s="5" t="inlineStr">
        <is>
          <t>chin@rarus.ru</t>
        </is>
      </c>
      <c r="J5" s="5" t="inlineStr">
        <is>
          <t>plbiz.ru</t>
        </is>
      </c>
      <c r="K5" s="5" t="inlineStr">
        <is>
          <t>117463, Г.МОСКВА, ПР-КТ НОВОЯСЕНЕВСКИЙ, Д. 32, К. 1, Э/ПОМ/К/ОФ 1/VI/2/135</t>
        </is>
      </c>
      <c r="L5" s="6" t="n">
        <v>125</v>
      </c>
      <c r="M5" s="6" t="n">
        <v>803331</v>
      </c>
      <c r="N5" s="6" t="n">
        <v>45252</v>
      </c>
      <c r="O5" s="6" t="n">
        <v>526018</v>
      </c>
      <c r="P5" s="5"/>
      <c r="Q5" s="5"/>
    </row>
    <row collapsed="false" customFormat="false" customHeight="false" hidden="false" ht="12.1" outlineLevel="0" r="6">
      <c r="A6" s="4" t="s">
        <f>HYPERLINK("https://www.list-org.com/company/166374","https://www.list-org.com/company/166374")</f>
      </c>
      <c r="B6" s="5" t="inlineStr">
        <is>
          <t>АО "ТРАНССЕТЬ"</t>
        </is>
      </c>
      <c r="C6" s="5" t="inlineStr">
        <is>
          <t>АКЦИОНЕРНОЕ ОБЩЕСТВО "ТРАНССЕТЬ"</t>
        </is>
      </c>
      <c r="D6" s="5" t="inlineStr">
        <is>
          <t>действующее</t>
        </is>
      </c>
      <c r="E6" s="5" t="inlineStr">
        <is>
          <t>ПИТКЕВИЧ ЮЛИЯ ВАЛЕРИЕВНА</t>
        </is>
      </c>
      <c r="F6" s="5" t="inlineStr">
        <is>
          <t>5262084279</t>
        </is>
      </c>
      <c r="G6" s="5" t="inlineStr">
        <is>
          <t>1025203752188</t>
        </is>
      </c>
      <c r="H6" s="5" t="inlineStr">
        <is>
          <t>+7 (831) 272-88-80</t>
        </is>
      </c>
      <c r="I6" s="5" t="inlineStr">
        <is>
          <t>286@transset.ru, vlasova_ta@transset.ru</t>
        </is>
      </c>
      <c r="J6" s="5" t="inlineStr">
        <is>
          <t>www.transset.ru</t>
        </is>
      </c>
      <c r="K6" s="5" t="inlineStr">
        <is>
          <t>107078, Г.Москва, ВНУТРИГОРОДСКАЯ ТЕРРИТОРИЯ ГОРОДА ФЕДЕРАЛЬНОГО ЗНАЧЕНИЯ МУНИЦИПАЛЬНЫЙ ОКРУГ КРАСНОСЕЛЬСКИЙ, УЛ КАЛАНЧЕВСКАЯ, Д. 15А, ПОМЕЩ. 1/5</t>
        </is>
      </c>
      <c r="L6" s="6" t="n">
        <v>128</v>
      </c>
      <c r="M6" s="6" t="n">
        <v>94511</v>
      </c>
      <c r="N6" s="6" t="n">
        <v>14482</v>
      </c>
      <c r="O6" s="6" t="n">
        <v>208730</v>
      </c>
      <c r="P6" s="5"/>
      <c r="Q6" s="5"/>
    </row>
    <row collapsed="false" customFormat="false" customHeight="false" hidden="false" ht="12.1" outlineLevel="0" r="7">
      <c r="A7" s="4" t="s">
        <f>HYPERLINK("https://www.list-org.com/company/166991","https://www.list-org.com/company/166991")</f>
      </c>
      <c r="B7" s="5" t="inlineStr">
        <is>
          <t>ООО "РАМБЛЕР ИНТЕРНЕТ ХОЛДИНГ"</t>
        </is>
      </c>
      <c r="C7" s="5" t="inlineStr">
        <is>
          <t>ОБЩЕСТВО С ОГРАНИЧЕННОЙ ОТВЕТСТВЕННОСТЬЮ "РАМБЛЕР ИНТЕРНЕТ ХОЛДИНГ"</t>
        </is>
      </c>
      <c r="D7" s="5" t="inlineStr">
        <is>
          <t>действующее</t>
        </is>
      </c>
      <c r="E7" s="5" t="inlineStr">
        <is>
          <t>ГЕНЕРАЛЬНЫЙ ДИРЕКТОР ШИШКИН СЕРГЕЙ АНДРЕЕВИЧ</t>
        </is>
      </c>
      <c r="F7" s="5" t="inlineStr">
        <is>
          <t>7725243282</t>
        </is>
      </c>
      <c r="G7" s="5" t="inlineStr">
        <is>
          <t>1037725059800</t>
        </is>
      </c>
      <c r="H7" s="5" t="inlineStr">
        <is>
          <t>+7 (495) 785-17-00</t>
        </is>
      </c>
      <c r="I7" s="5" t="inlineStr">
        <is>
          <t>e.kolodina@rambler-co.ru, e.kultasheva@rambler-co.ru, irina.rumiantseva@rambler-co.ru</t>
        </is>
      </c>
      <c r="J7" s="5" t="inlineStr">
        <is>
          <t>www.rambler.ru</t>
        </is>
      </c>
      <c r="K7" s="5" t="inlineStr">
        <is>
          <t>117105, Г.МОСКВА, Ш. ВАРШАВСКОЕ, Д. 9, СТР. 1, ПОМ А ЧАСТЬ КОМН 22</t>
        </is>
      </c>
      <c r="L7" s="6" t="n">
        <v>272</v>
      </c>
      <c r="M7" s="6" t="n">
        <v>2783280</v>
      </c>
      <c r="N7" s="6" t="n">
        <v>-551698</v>
      </c>
      <c r="O7" s="6" t="n">
        <v>956980</v>
      </c>
      <c r="P7" s="5"/>
      <c r="Q7" s="5"/>
    </row>
    <row collapsed="false" customFormat="false" customHeight="false" hidden="false" ht="12.1" outlineLevel="0" r="8">
      <c r="A8" s="4" t="s">
        <f>HYPERLINK("https://www.list-org.com/company/169877","https://www.list-org.com/company/169877")</f>
      </c>
      <c r="B8" s="5" t="inlineStr">
        <is>
          <t>ООО "ОТР 2000"</t>
        </is>
      </c>
      <c r="C8" s="5" t="inlineStr">
        <is>
          <t>ОБЩЕСТВО С ОГРАНИЧЕННОЙ ОТВЕТСТВЕННОСТЬЮ "ОРГАНИЗАЦИОННО-ТЕХНОЛОГИЧЕСКИЕ РЕШЕНИЯ 2000"</t>
        </is>
      </c>
      <c r="D8" s="5" t="inlineStr">
        <is>
          <t>действующее</t>
        </is>
      </c>
      <c r="E8" s="5" t="inlineStr">
        <is>
          <t>МАНОХИН СЕРГЕЙ ЮРЬЕВИЧ</t>
        </is>
      </c>
      <c r="F8" s="5" t="inlineStr">
        <is>
          <t>7718162032</t>
        </is>
      </c>
      <c r="G8" s="5" t="inlineStr">
        <is>
          <t>1027700269530</t>
        </is>
      </c>
      <c r="H8" s="5" t="inlineStr">
        <is>
          <t>+7 (495) 223-07-99</t>
        </is>
      </c>
      <c r="I8" s="5" t="inlineStr">
        <is>
          <t>info@otr.ru</t>
        </is>
      </c>
      <c r="J8" s="5" t="inlineStr">
        <is>
          <t>http://otr.ru</t>
        </is>
      </c>
      <c r="K8" s="5" t="inlineStr">
        <is>
          <t>127474, Г.Москва, ВНУТРИГОРОДСКАЯ ТЕРРИТОРИЯ ГОРОДА ФЕДЕРАЛЬНОГО ЗНАЧЕНИЯ МУНИЦИПАЛЬНЫЙ ОКРУГ БЕСКУДНИКОВСКИЙ, Ш ДМИТРОВСКОЕ, Д. 60А</t>
        </is>
      </c>
      <c r="L8" s="6" t="n">
        <v>292</v>
      </c>
      <c r="M8" s="6" t="n">
        <v>4655440</v>
      </c>
      <c r="N8" s="6" t="n">
        <v>212613</v>
      </c>
      <c r="O8" s="6" t="n">
        <v>905237</v>
      </c>
      <c r="P8" s="5"/>
      <c r="Q8" s="5"/>
    </row>
    <row collapsed="false" customFormat="false" customHeight="false" hidden="false" ht="12.1" outlineLevel="0" r="9">
      <c r="A9" s="4" t="s">
        <f>HYPERLINK("https://www.list-org.com/company/173610","https://www.list-org.com/company/173610")</f>
      </c>
      <c r="B9" s="5" t="inlineStr">
        <is>
          <t>ООО "ЦЕНТР-СБК"</t>
        </is>
      </c>
      <c r="C9" s="5" t="inlineStr">
        <is>
          <t>ОБЩЕСТВО С ОГРАНИЧЕННОЙ ОТВЕТСТВЕННОСТЬЮ "ЦЕНТР-СБК"</t>
        </is>
      </c>
      <c r="D9" s="5" t="inlineStr">
        <is>
          <t>действующее</t>
        </is>
      </c>
      <c r="E9" s="5" t="inlineStr">
        <is>
          <t>МОРОЗОВ ПАВЕЛ ЮРЬЕВИЧ</t>
        </is>
      </c>
      <c r="F9" s="5" t="inlineStr">
        <is>
          <t>5254024741</t>
        </is>
      </c>
      <c r="G9" s="5" t="inlineStr">
        <is>
          <t>1025203723335</t>
        </is>
      </c>
      <c r="H9" s="5" t="inlineStr">
        <is>
          <t>+7 (8312) 34-49-65</t>
        </is>
      </c>
      <c r="I9" s="5" t="inlineStr">
        <is>
          <t>sergach_rs@bcnn.ru, market@bcnn.ru, gis-zhkh@bcnn.ru</t>
        </is>
      </c>
      <c r="J9" s="5" t="inlineStr">
        <is>
          <t>http://sbk-torg.ru</t>
        </is>
      </c>
      <c r="K9" s="5" t="inlineStr">
        <is>
          <t>603057, НИЖЕГОРОДСКАЯ ОБЛАСТЬ, ГОРОД НИЖНИЙ НОВГОРОД, УЛИЦА БЕКЕТОВА, Д. 5</t>
        </is>
      </c>
      <c r="L9" s="6" t="n">
        <v>178</v>
      </c>
      <c r="M9" s="6" t="n">
        <v>399974</v>
      </c>
      <c r="N9" s="6" t="n">
        <v>27607</v>
      </c>
      <c r="O9" s="6" t="n">
        <v>115866</v>
      </c>
      <c r="P9" s="5"/>
      <c r="Q9" s="5"/>
    </row>
    <row collapsed="false" customFormat="false" customHeight="false" hidden="false" ht="12.1" outlineLevel="0" r="10">
      <c r="A10" s="4" t="s">
        <f>HYPERLINK("https://www.list-org.com/company/176017","https://www.list-org.com/company/176017")</f>
      </c>
      <c r="B10" s="5" t="inlineStr">
        <is>
          <t>ООО "НОРБИТ"</t>
        </is>
      </c>
      <c r="C10" s="5" t="inlineStr">
        <is>
          <t>ОБЩЕСТВО С ОГРАНИЧЕННОЙ ОТВЕТСТВЕННОСТЬЮ "НОРБИТ"</t>
        </is>
      </c>
      <c r="D10" s="5" t="inlineStr">
        <is>
          <t>действующее</t>
        </is>
      </c>
      <c r="E10" s="5" t="inlineStr">
        <is>
          <t>ЧЕХОНИН АНТОН ВАЛЕРИЕВИЧ</t>
        </is>
      </c>
      <c r="F10" s="5" t="inlineStr">
        <is>
          <t>7702314674</t>
        </is>
      </c>
      <c r="G10" s="5" t="inlineStr">
        <is>
          <t>1027700305490</t>
        </is>
      </c>
      <c r="H10" s="5" t="inlineStr">
        <is>
          <t>+7 (495) 787-29-92</t>
        </is>
      </c>
      <c r="I10" s="5" t="inlineStr">
        <is>
          <t>zgulay@norbit.ru</t>
        </is>
      </c>
      <c r="J10" s="5" t="inlineStr">
        <is>
          <t>www.norbit.ru</t>
        </is>
      </c>
      <c r="K10" s="5" t="inlineStr">
        <is>
          <t>127083, Г.МОСКВА, УЛ. ЮННАТОВ, Д. 18, ПОМЕЩ. XII, КОМН. 2, ЭТАЖ 2</t>
        </is>
      </c>
      <c r="L10" s="6" t="n">
        <v>440</v>
      </c>
      <c r="M10" s="6" t="n">
        <v>2670670</v>
      </c>
      <c r="N10" s="6" t="n">
        <v>9279</v>
      </c>
      <c r="O10" s="6" t="n">
        <v>179611</v>
      </c>
      <c r="P10" s="5"/>
      <c r="Q10" s="5"/>
    </row>
    <row collapsed="false" customFormat="false" customHeight="false" hidden="false" ht="12.1" outlineLevel="0" r="11">
      <c r="A11" s="4" t="s">
        <f>HYPERLINK("https://www.list-org.com/company/181515","https://www.list-org.com/company/181515")</f>
      </c>
      <c r="B11" s="5" t="inlineStr">
        <is>
          <t>ООО "МЕРА НН"</t>
        </is>
      </c>
      <c r="C11" s="5" t="inlineStr">
        <is>
          <t>ОБЩЕСТВО С ОГРАНИЧЕННОЙ ОТВЕТСТВЕННОСТЬЮ "МЕРА НН"</t>
        </is>
      </c>
      <c r="D11" s="5" t="inlineStr">
        <is>
          <t>действующее</t>
        </is>
      </c>
      <c r="E11" s="5" t="inlineStr">
        <is>
          <t>РЕМНЁВ АНДРЕЙ ЕВГЕНЬЕВИЧ</t>
        </is>
      </c>
      <c r="F11" s="5" t="inlineStr">
        <is>
          <t>5257053317</t>
        </is>
      </c>
      <c r="G11" s="5" t="inlineStr">
        <is>
          <t>1025202394777</t>
        </is>
      </c>
      <c r="H11" s="5" t="inlineStr">
        <is>
          <t>+7 (831) 278-88-01</t>
        </is>
      </c>
      <c r="I11" s="5" t="inlineStr">
        <is>
          <t>sales@mera.ru, psuslova@mera.ru, ogoryach@mera.ru, request@meranetworks.com</t>
        </is>
      </c>
      <c r="J11" s="5" t="inlineStr">
        <is>
          <t>www.mera.ru</t>
        </is>
      </c>
      <c r="K11" s="5" t="inlineStr">
        <is>
          <t>603163, НИЖЕГОРОДСКАЯ ОБЛАСТЬ, Г. НИЖНИЙ НОВГОРОД, УЛ. ДЕЛОВАЯ, Д.13</t>
        </is>
      </c>
      <c r="L11" s="6" t="n">
        <v>183</v>
      </c>
      <c r="M11" s="6" t="n">
        <v>328683</v>
      </c>
      <c r="N11" s="6" t="n">
        <v>31042</v>
      </c>
      <c r="O11" s="6" t="n">
        <v>304359</v>
      </c>
      <c r="P11" s="5"/>
      <c r="Q11" s="5"/>
    </row>
    <row collapsed="false" customFormat="false" customHeight="false" hidden="false" ht="12.1" outlineLevel="0" r="12">
      <c r="A12" s="4" t="s">
        <f>HYPERLINK("https://www.list-org.com/company/185746","https://www.list-org.com/company/185746")</f>
      </c>
      <c r="B12" s="5" t="inlineStr">
        <is>
          <t>ООО "СИ ТИ АЙ"</t>
        </is>
      </c>
      <c r="C12" s="5" t="inlineStr">
        <is>
          <t>ОБЩЕСТВО С ОГРАНИЧЕННОЙ ОТВЕТСТВЕННОСТЬЮ "СИ ТИ АЙ"</t>
        </is>
      </c>
      <c r="D12" s="5" t="inlineStr">
        <is>
          <t>действующее</t>
        </is>
      </c>
      <c r="E12" s="5" t="inlineStr">
        <is>
          <t>ГАВРИЛЕНКО ВЛАДИМИР ДМИТРИЕВИЧ</t>
        </is>
      </c>
      <c r="F12" s="5" t="inlineStr">
        <is>
          <t>7736224098</t>
        </is>
      </c>
      <c r="G12" s="5" t="inlineStr">
        <is>
          <t>1027736001281</t>
        </is>
      </c>
      <c r="H12" s="5" t="inlineStr">
        <is>
          <t>+7 (495) 789-65-65</t>
        </is>
      </c>
      <c r="I12" s="5" t="inlineStr">
        <is>
          <t>e.strukova@cti.ru, g.poikovnikova@cti.ru, g.polkovnikova@cti.ru, k.lazareva@cti.ru, l.belyavskaya@c</t>
        </is>
      </c>
      <c r="J12" s="5" t="inlineStr">
        <is>
          <t>http://cti.ru</t>
        </is>
      </c>
      <c r="K12" s="5" t="inlineStr">
        <is>
          <t>117218, Г.МОСКВА, УЛ. КРЖИЖАНОВСКОГО, Д. 29К1, ЭТАЖ 5 ПОМ 1 КОМН 23-28</t>
        </is>
      </c>
      <c r="L12" s="6" t="n">
        <v>173</v>
      </c>
      <c r="M12" s="6" t="n">
        <v>3556870</v>
      </c>
      <c r="N12" s="6" t="n">
        <v>345627</v>
      </c>
      <c r="O12" s="6" t="n">
        <v>1078870</v>
      </c>
      <c r="P12" s="5"/>
      <c r="Q12" s="5"/>
    </row>
    <row collapsed="false" customFormat="false" customHeight="false" hidden="false" ht="12.1" outlineLevel="0" r="13">
      <c r="A13" s="4" t="s">
        <f>HYPERLINK("https://www.list-org.com/company/188401","https://www.list-org.com/company/188401")</f>
      </c>
      <c r="B13" s="5" t="inlineStr">
        <is>
          <t>ООО "ОЙЛ-ТЕЛЕКОМ"</t>
        </is>
      </c>
      <c r="C13" s="5" t="inlineStr">
        <is>
          <t>ОБЩЕСТВО С ОГРАНИЧЕННОЙ ОТВЕТСТВЕННОСТЬЮ "ОЙЛ-ТЕЛЕКОМ"</t>
        </is>
      </c>
      <c r="D13" s="5" t="inlineStr">
        <is>
          <t>действующее</t>
        </is>
      </c>
      <c r="E13" s="5" t="inlineStr">
        <is>
          <t>ЗУБАРЕВ АЛЕКСАНДР АЛЕКСАНДРОВИЧ</t>
        </is>
      </c>
      <c r="F13" s="5" t="inlineStr">
        <is>
          <t>1831087806</t>
        </is>
      </c>
      <c r="G13" s="5" t="inlineStr">
        <is>
          <t>1021801173118</t>
        </is>
      </c>
      <c r="H13" s="5" t="inlineStr">
        <is>
          <t>+7 (3412) 48-35-16</t>
        </is>
      </c>
      <c r="I13" s="5" t="inlineStr">
        <is>
          <t>oiltelecom@udmurtneft.ru, tepavlenko@udmurtneft.ru, oiltelecom@udn.rosneft.ru</t>
        </is>
      </c>
      <c r="J13" s="5" t="inlineStr">
        <is>
          <t>http://oiltelecom.ru</t>
        </is>
      </c>
      <c r="K13" s="5" t="inlineStr">
        <is>
          <t>426057, УДМУРТСКАЯ РЕСПУБЛИКА, Г. ИЖЕВСК, УЛ. СВОБОДЫ, Д. 173, ОФИС 405</t>
        </is>
      </c>
      <c r="L13" s="6" t="n">
        <v>366</v>
      </c>
      <c r="M13" s="6"/>
      <c r="N13" s="6"/>
      <c r="O13" s="6"/>
      <c r="P13" s="5"/>
      <c r="Q13" s="5"/>
    </row>
    <row collapsed="false" customFormat="false" customHeight="false" hidden="false" ht="12.1" outlineLevel="0" r="14">
      <c r="A14" s="4" t="s">
        <f>HYPERLINK("https://www.list-org.com/company/202726","https://www.list-org.com/company/202726")</f>
      </c>
      <c r="B14" s="5" t="inlineStr">
        <is>
          <t>ООО "ЦЕНТР ОБСЛУЖИВАНИЯ БИЗНЕСА"</t>
        </is>
      </c>
      <c r="C14" s="5" t="inlineStr">
        <is>
          <t>ОБЩЕСТВО С ОГРАНИЧЕННОЙ ОТВЕТСТВЕННОСТЬЮ "ЦЕНТР ОБСЛУЖИВАНИЯ БИЗНЕСА"</t>
        </is>
      </c>
      <c r="D14" s="5" t="inlineStr">
        <is>
          <t>действующее</t>
        </is>
      </c>
      <c r="E14" s="5" t="inlineStr">
        <is>
          <t>ЗУБРИЛОВА ЛАРИСА АЛЕКСАНДРОВНА</t>
        </is>
      </c>
      <c r="F14" s="5" t="inlineStr">
        <is>
          <t>1647010390</t>
        </is>
      </c>
      <c r="G14" s="5" t="inlineStr">
        <is>
          <t>1041612001683</t>
        </is>
      </c>
      <c r="H14" s="5" t="inlineStr">
        <is>
          <t>+7 (85558) 7-26-67</t>
        </is>
      </c>
      <c r="I14" s="5" t="inlineStr">
        <is>
          <t>bsc@kamaz.ru</t>
        </is>
      </c>
      <c r="J14" s="5" t="inlineStr">
        <is>
          <t>http://itbsc.ru</t>
        </is>
      </c>
      <c r="K14" s="5" t="inlineStr">
        <is>
          <t>423827, РЕСПУБЛИКА ТАТАРСТАН (ТАТАРСТАН), Г. НАБЕРЕЖНЫЕ ЧЕЛНЫ, ПР-КТ АВТОЗАВОДСКИЙ, Д.2</t>
        </is>
      </c>
      <c r="L14" s="6" t="n">
        <v>481</v>
      </c>
      <c r="M14" s="6" t="n">
        <v>484039</v>
      </c>
      <c r="N14" s="6" t="n">
        <v>8921</v>
      </c>
      <c r="O14" s="6" t="n">
        <v>-2600</v>
      </c>
      <c r="P14" s="5"/>
      <c r="Q14" s="5"/>
    </row>
    <row collapsed="false" customFormat="false" customHeight="false" hidden="false" ht="12.1" outlineLevel="0" r="15">
      <c r="A15" s="4" t="s">
        <f>HYPERLINK("https://www.list-org.com/company/210164","https://www.list-org.com/company/210164")</f>
      </c>
      <c r="B15" s="5" t="inlineStr">
        <is>
          <t>ООО "КОНСУЛЬТАНТКИРОВ"</t>
        </is>
      </c>
      <c r="C15" s="5" t="inlineStr">
        <is>
          <t>ОБЩЕСТВО С ОГРАНИЧЕННОЙ ОТВЕТСТВЕННОСТЬЮ РЕГИОНАЛЬНЫЙ ИНФОРМАЦИОННО-ПРАВОВОЙ ЦЕНТР "КОНСУЛЬТАНТКИРОВ"</t>
        </is>
      </c>
      <c r="D15" s="5" t="inlineStr">
        <is>
          <t>действующее</t>
        </is>
      </c>
      <c r="E15" s="5" t="inlineStr">
        <is>
          <t>Смирнов Игорь Владимирович</t>
        </is>
      </c>
      <c r="F15" s="5" t="inlineStr">
        <is>
          <t>4345083189</t>
        </is>
      </c>
      <c r="G15" s="5" t="inlineStr">
        <is>
          <t>1044316537320</t>
        </is>
      </c>
      <c r="H15" s="5" t="inlineStr">
        <is>
          <t>+7 (8332) 20-42-40</t>
        </is>
      </c>
      <c r="I15" s="5" t="inlineStr">
        <is>
          <t>conskirov@ptlan.com, zarubina_ln@consultant.kirov.ru, suhanova_em@consultant.kirov.ru</t>
        </is>
      </c>
      <c r="J15" s="5" t="inlineStr">
        <is>
          <t>consultantkirov.ru</t>
        </is>
      </c>
      <c r="K15" s="5" t="inlineStr">
        <is>
          <t>610017, КИРОВСКАЯ ОБЛАСТЬ, Г. КИРОВ, УЛ. МОЛОДОЙ ГВАРДИИ, Д.84/2</t>
        </is>
      </c>
      <c r="L15" s="6" t="n">
        <v>118</v>
      </c>
      <c r="M15" s="6" t="n">
        <v>202671</v>
      </c>
      <c r="N15" s="6" t="n">
        <v>24275</v>
      </c>
      <c r="O15" s="6" t="n">
        <v>12873</v>
      </c>
      <c r="P15" s="5"/>
      <c r="Q15" s="5"/>
    </row>
    <row collapsed="false" customFormat="false" customHeight="false" hidden="false" ht="12.1" outlineLevel="0" r="16">
      <c r="A16" s="4" t="s">
        <f>HYPERLINK("https://www.list-org.com/company/215221","https://www.list-org.com/company/215221")</f>
      </c>
      <c r="B16" s="5" t="inlineStr">
        <is>
          <t>АО "НПО "СПЕЦЭЛЕКТРОМЕХАНИКА"</t>
        </is>
      </c>
      <c r="C16" s="5" t="inlineStr">
        <is>
          <t>АКЦИОНЕРНОЕ ОБЩЕСТВО "НАУЧНО-ПРОИЗВОДСТВЕННОЕ ОБЪЕДИНЕНИЕ "СПЕЦЭЛЕКТРОМЕХАНИКА"</t>
        </is>
      </c>
      <c r="D16" s="5" t="inlineStr">
        <is>
          <t>действующее</t>
        </is>
      </c>
      <c r="E16" s="5" t="inlineStr">
        <is>
          <t>САРАПУЛОВ НИКОЛАЙ ЮРЬЕВИЧ</t>
        </is>
      </c>
      <c r="F16" s="5" t="inlineStr">
        <is>
          <t>7707520977</t>
        </is>
      </c>
      <c r="G16" s="5" t="inlineStr">
        <is>
          <t>1047796456322</t>
        </is>
      </c>
      <c r="H16" s="5" t="inlineStr">
        <is>
          <t>+7 (495) 783-29-80</t>
        </is>
      </c>
      <c r="I16" s="5" t="inlineStr">
        <is>
          <t>zhadyaeva@asuoil.ru, office@asuoil.ru</t>
        </is>
      </c>
      <c r="J16" s="5" t="inlineStr">
        <is>
          <t>www.semgroup.ru</t>
        </is>
      </c>
      <c r="K16" s="5" t="inlineStr">
        <is>
          <t>241028, БРЯНСКАЯ ОБЛАСТЬ, Г. БРЯНСК, УЛ. КАРАЧИЖСКАЯ, Д. 79</t>
        </is>
      </c>
      <c r="L16" s="6" t="n">
        <v>203</v>
      </c>
      <c r="M16" s="6" t="n">
        <v>1490000</v>
      </c>
      <c r="N16" s="6" t="n">
        <v>26957</v>
      </c>
      <c r="O16" s="6" t="n">
        <v>326513</v>
      </c>
      <c r="P16" s="5"/>
      <c r="Q16" s="5"/>
    </row>
    <row collapsed="false" customFormat="false" customHeight="false" hidden="false" ht="12.1" outlineLevel="0" r="17">
      <c r="A17" s="4" t="s">
        <f>HYPERLINK("https://www.list-org.com/company/216885","https://www.list-org.com/company/216885")</f>
      </c>
      <c r="B17" s="5" t="inlineStr">
        <is>
          <t>ООО "КОНФИДЕНТ"</t>
        </is>
      </c>
      <c r="C17" s="5" t="inlineStr">
        <is>
          <t>ОБЩЕСТВО С ОГРАНИЧЕННОЙ ОТВЕТСТВЕННОСТЬЮ "КОНФИДЕНТ"</t>
        </is>
      </c>
      <c r="D17" s="5" t="inlineStr">
        <is>
          <t>действующее</t>
        </is>
      </c>
      <c r="E17" s="5" t="inlineStr">
        <is>
          <t>КУЗНЕЦОВ ПЕТР АЛЕКСАНДРОВИЧ</t>
        </is>
      </c>
      <c r="F17" s="5" t="inlineStr">
        <is>
          <t>7811072513</t>
        </is>
      </c>
      <c r="G17" s="5" t="inlineStr">
        <is>
          <t>1037825014413</t>
        </is>
      </c>
      <c r="H17" s="5" t="inlineStr">
        <is>
          <t>+7 (812) 325-10-37</t>
        </is>
      </c>
      <c r="I17" s="5" t="inlineStr">
        <is>
          <t>hotline@confident.ru</t>
        </is>
      </c>
      <c r="J17" s="5" t="inlineStr">
        <is>
          <t>www.confident.ru</t>
        </is>
      </c>
      <c r="K17" s="5" t="inlineStr">
        <is>
          <t>192029, Г.САНКТ-ПЕТЕРБУРГ, ПР-КТ ОБУХОВСКОЙ ОБОРОНЫ, Д.51, ЛИТЕР К</t>
        </is>
      </c>
      <c r="L17" s="6" t="n">
        <v>138</v>
      </c>
      <c r="M17" s="6" t="n">
        <v>500836</v>
      </c>
      <c r="N17" s="6" t="n">
        <v>32141</v>
      </c>
      <c r="O17" s="6" t="n">
        <v>533774</v>
      </c>
      <c r="P17" s="5"/>
      <c r="Q17" s="5"/>
    </row>
    <row collapsed="false" customFormat="false" customHeight="false" hidden="false" ht="12.1" outlineLevel="0" r="18">
      <c r="A18" s="4" t="s">
        <f>HYPERLINK("https://www.list-org.com/company/240319","https://www.list-org.com/company/240319")</f>
      </c>
      <c r="B18" s="5" t="inlineStr">
        <is>
          <t>ЗАО "СИ ПРОЕКТ"</t>
        </is>
      </c>
      <c r="C18" s="5" t="inlineStr">
        <is>
          <t>ЗАКРЫТОЕ АКЦИОНЕРНОЕ ОБЩЕСТВО "СИ ПРОЕКТ"</t>
        </is>
      </c>
      <c r="D18" s="5" t="inlineStr">
        <is>
          <t>действующее</t>
        </is>
      </c>
      <c r="E18" s="5" t="inlineStr">
        <is>
          <t>БОГДАНОВ ДМИТРИЙ АЛЕКСАНДРОВИЧ</t>
        </is>
      </c>
      <c r="F18" s="5" t="inlineStr">
        <is>
          <t>7825503960</t>
        </is>
      </c>
      <c r="G18" s="5" t="inlineStr">
        <is>
          <t>1037843083849</t>
        </is>
      </c>
      <c r="H18" s="5" t="inlineStr">
        <is>
          <t>+7 (812) 740-35-95</t>
        </is>
      </c>
      <c r="I18" s="5" t="inlineStr">
        <is>
          <t>info@seaproject.ru</t>
        </is>
      </c>
      <c r="J18" s="5" t="inlineStr">
        <is>
          <t>www.seaproject.ru</t>
        </is>
      </c>
      <c r="K18" s="5" t="inlineStr">
        <is>
          <t>196191, Г.САНКТ-ПЕТЕРБУРГ, ПЛ. КОНСТИТУЦИИ, Д.7, ЛИТЕР А, ПОМЕЩЕНИЕ 146Н</t>
        </is>
      </c>
      <c r="L18" s="6" t="n">
        <v>247</v>
      </c>
      <c r="M18" s="6" t="n">
        <v>324473</v>
      </c>
      <c r="N18" s="6" t="n">
        <v>-52603</v>
      </c>
      <c r="O18" s="6" t="n">
        <v>31723</v>
      </c>
      <c r="P18" s="5"/>
      <c r="Q18" s="5"/>
    </row>
    <row collapsed="false" customFormat="false" customHeight="false" hidden="false" ht="12.1" outlineLevel="0" r="19">
      <c r="A19" s="4" t="s">
        <f>HYPERLINK("https://www.list-org.com/company/344237","https://www.list-org.com/company/344237")</f>
      </c>
      <c r="B19" s="5" t="inlineStr">
        <is>
          <t>АО "ПРЕДПРИЯТИЕ В-1336"</t>
        </is>
      </c>
      <c r="C19" s="5" t="inlineStr">
        <is>
          <t>АКЦИОНЕРНОЕ ОБЩЕСТВО "ПРЕДПРИЯТИЕ В-1336"</t>
        </is>
      </c>
      <c r="D19" s="5" t="inlineStr">
        <is>
          <t>действующее</t>
        </is>
      </c>
      <c r="E19" s="5" t="inlineStr">
        <is>
          <t>КРОХАЛЕВ МИХАИЛ АЛЕКСЕЕВИЧ</t>
        </is>
      </c>
      <c r="F19" s="5" t="inlineStr">
        <is>
          <t>5902128625</t>
        </is>
      </c>
      <c r="G19" s="5" t="inlineStr">
        <is>
          <t>1025900538729</t>
        </is>
      </c>
      <c r="H19" s="5" t="inlineStr">
        <is>
          <t>+7 (342) 212-96-65</t>
        </is>
      </c>
      <c r="I19" s="5" t="inlineStr">
        <is>
          <t>info@v-1336.ru, gosuslugi@v-1336.ru</t>
        </is>
      </c>
      <c r="J19" s="5" t="inlineStr">
        <is>
          <t>www.v-1336.ru</t>
        </is>
      </c>
      <c r="K19" s="5" t="inlineStr">
        <is>
          <t>614000, ПЕРМСКИЙ КРАЙ, Г. ПЕРМЬ, ПР-КТ КОМСОМОЛЬСКИЙ, Д. 34, ОФИС 208</t>
        </is>
      </c>
      <c r="L19" s="6" t="n">
        <v>174</v>
      </c>
      <c r="M19" s="6" t="n">
        <v>916050</v>
      </c>
      <c r="N19" s="6" t="n">
        <v>199538</v>
      </c>
      <c r="O19" s="6" t="n">
        <v>801194</v>
      </c>
      <c r="P19" s="5"/>
      <c r="Q19" s="5"/>
    </row>
    <row collapsed="false" customFormat="false" customHeight="false" hidden="false" ht="12.1" outlineLevel="0" r="20">
      <c r="A20" s="4" t="s">
        <f>HYPERLINK("https://www.list-org.com/company/384581","https://www.list-org.com/company/384581")</f>
      </c>
      <c r="B20" s="5" t="inlineStr">
        <is>
          <t>ООО "ТЕХАВТОМАТИКА"</t>
        </is>
      </c>
      <c r="C20" s="5" t="inlineStr">
        <is>
          <t>ОБЩЕСТВО С ОГРАНИЧЕННОЙ ОТВЕТСТВЕННОСТЬЮ "ТЕХАВТОМАТИКА"</t>
        </is>
      </c>
      <c r="D20" s="5" t="inlineStr">
        <is>
          <t>действующее</t>
        </is>
      </c>
      <c r="E20" s="5" t="inlineStr">
        <is>
          <t>ЧУМАРЗОВ АЛЕКСАНДР НИКОЛАЕВИЧ</t>
        </is>
      </c>
      <c r="F20" s="5" t="inlineStr">
        <is>
          <t>1661008650</t>
        </is>
      </c>
      <c r="G20" s="5" t="inlineStr">
        <is>
          <t>1021603881090</t>
        </is>
      </c>
      <c r="H20" s="5" t="inlineStr">
        <is>
          <t>+7 (843) 277-70-70</t>
        </is>
      </c>
      <c r="I20" s="5" t="inlineStr">
        <is>
          <t>ceo@t-a-e.ru</t>
        </is>
      </c>
      <c r="J20" s="5" t="inlineStr">
        <is>
          <t>t-a-e.ru</t>
        </is>
      </c>
      <c r="K20" s="5" t="inlineStr">
        <is>
          <t>420127, РЕСПУБЛИКА ТАТАРСТАН (ТАТАРСТАН), Г. КАЗАНЬ, УЛ. ДЕМЕНТЬЕВА, Д. 2Б, К. 4, ОФИС 325</t>
        </is>
      </c>
      <c r="L20" s="6" t="n">
        <v>101</v>
      </c>
      <c r="M20" s="6" t="n">
        <v>805131</v>
      </c>
      <c r="N20" s="6" t="n">
        <v>53752</v>
      </c>
      <c r="O20" s="6" t="n">
        <v>196775</v>
      </c>
      <c r="P20" s="5"/>
      <c r="Q20" s="5"/>
    </row>
    <row collapsed="false" customFormat="false" customHeight="false" hidden="false" ht="12.1" outlineLevel="0" r="21">
      <c r="A21" s="4" t="s">
        <f>HYPERLINK("https://www.list-org.com/company/397130","https://www.list-org.com/company/397130")</f>
      </c>
      <c r="B21" s="5" t="inlineStr">
        <is>
          <t>ООО "НПФ "ИСБ"</t>
        </is>
      </c>
      <c r="C21" s="5" t="inlineStr">
        <is>
          <t>ОБЩЕСТВО С ОГРАНИЧЕННОЙ ОТВЕТСТВЕННОСТЬЮ  "НАУЧНО ПРОИЗВОДСТВЕННАЯ ФИРМА "ИНФОРМАЦИОННЫЕ СИСТЕМЫ БЕЗОПАСНОСТИ"</t>
        </is>
      </c>
      <c r="D21" s="5" t="inlineStr">
        <is>
          <t>действующее</t>
        </is>
      </c>
      <c r="E21" s="5" t="inlineStr">
        <is>
          <t>СМОЛЬЯНИНОВ ВИКТОР ВЛАДИМИРОВИЧ</t>
        </is>
      </c>
      <c r="F21" s="5" t="inlineStr">
        <is>
          <t>7017091200</t>
        </is>
      </c>
      <c r="G21" s="5" t="inlineStr">
        <is>
          <t>1047000106614</t>
        </is>
      </c>
      <c r="H21" s="5" t="inlineStr">
        <is>
          <t>+7 (3822) 70-50-77</t>
        </is>
      </c>
      <c r="I21" s="5" t="inlineStr">
        <is>
          <t>office@npf-isb.ru</t>
        </is>
      </c>
      <c r="J21" s="5" t="inlineStr">
        <is>
          <t>npf-isb.ru</t>
        </is>
      </c>
      <c r="K21" s="5" t="inlineStr">
        <is>
          <t>634050, ТОМСКАЯ ОБЛАСТЬ, Г ТОМСК, ПР-КТ ЛЕНИНА, Д. 28</t>
        </is>
      </c>
      <c r="L21" s="6" t="n">
        <v>113</v>
      </c>
      <c r="M21" s="6" t="n">
        <v>1365890</v>
      </c>
      <c r="N21" s="6" t="n">
        <v>141722</v>
      </c>
      <c r="O21" s="6" t="n">
        <v>306280</v>
      </c>
      <c r="P21" s="5"/>
      <c r="Q21" s="5"/>
    </row>
    <row collapsed="false" customFormat="false" customHeight="false" hidden="false" ht="12.1" outlineLevel="0" r="22">
      <c r="A22" s="4" t="s">
        <f>HYPERLINK("https://www.list-org.com/company/405817","https://www.list-org.com/company/405817")</f>
      </c>
      <c r="B22" s="5" t="inlineStr">
        <is>
          <t>ООО "ТЕХНОКАД"</t>
        </is>
      </c>
      <c r="C22" s="5" t="inlineStr">
        <is>
          <t>ОБЩЕСТВО С ОГРАНИЧЕННОЙ ОТВЕТСТВЕННОСТЬЮ "ТЕХНОКАД"</t>
        </is>
      </c>
      <c r="D22" s="5" t="inlineStr">
        <is>
          <t>действующее</t>
        </is>
      </c>
      <c r="E22" s="5" t="inlineStr">
        <is>
          <t>ЕЛИСЕЕВ ОЛЕГ НИКОЛАЕВИЧ</t>
        </is>
      </c>
      <c r="F22" s="5" t="inlineStr">
        <is>
          <t>5009046312</t>
        </is>
      </c>
      <c r="G22" s="5" t="inlineStr">
        <is>
          <t>1045002007984</t>
        </is>
      </c>
      <c r="H22" s="5" t="inlineStr">
        <is>
          <t>+7 (495) 543-17-34</t>
        </is>
      </c>
      <c r="I22" s="5" t="inlineStr">
        <is>
          <t>fax@technokad.ru, zva@technokad.ru</t>
        </is>
      </c>
      <c r="J22" s="5" t="inlineStr">
        <is>
          <t>www.technokad.ru</t>
        </is>
      </c>
      <c r="K22" s="5" t="inlineStr">
        <is>
          <t>115114, Г.МОСКВА, НАБ. ПАВЕЛЕЦКАЯ, Д. 8, СТР. 6А, ОФИС 601-602</t>
        </is>
      </c>
      <c r="L22" s="6" t="n">
        <v>145</v>
      </c>
      <c r="M22" s="6" t="n">
        <v>469843</v>
      </c>
      <c r="N22" s="6" t="n">
        <v>17006</v>
      </c>
      <c r="O22" s="6" t="n">
        <v>156432</v>
      </c>
      <c r="P22" s="5"/>
      <c r="Q22" s="5"/>
    </row>
    <row collapsed="false" customFormat="false" customHeight="false" hidden="false" ht="12.1" outlineLevel="0" r="23">
      <c r="A23" s="4" t="s">
        <f>HYPERLINK("https://www.list-org.com/company/466035","https://www.list-org.com/company/466035")</f>
      </c>
      <c r="B23" s="5" t="inlineStr">
        <is>
          <t>ООО "ФАРПОСТ"</t>
        </is>
      </c>
      <c r="C23" s="5" t="inlineStr">
        <is>
          <t>ОБЩЕСТВО С ОГРАНИЧЕННОЙ ОТВЕТСТВЕННОСТЬЮ "ФАРПОСТ"</t>
        </is>
      </c>
      <c r="D23" s="5" t="inlineStr">
        <is>
          <t>действующее</t>
        </is>
      </c>
      <c r="E23" s="5" t="inlineStr">
        <is>
          <t>Николаев Егор Александрович</t>
        </is>
      </c>
      <c r="F23" s="5" t="inlineStr">
        <is>
          <t>2536133126</t>
        </is>
      </c>
      <c r="G23" s="5" t="inlineStr">
        <is>
          <t>1032501290227</t>
        </is>
      </c>
      <c r="H23" s="5" t="inlineStr">
        <is>
          <t>+7 (423) 230-06-86</t>
        </is>
      </c>
      <c r="I23" s="5" t="inlineStr">
        <is>
          <t>egor@farpost.com, buh@farpost.com, see_big_wold@mail.ru</t>
        </is>
      </c>
      <c r="J23" s="5" t="inlineStr">
        <is>
          <t>www.farpost.ru</t>
        </is>
      </c>
      <c r="K23" s="5" t="inlineStr">
        <is>
          <t>690001, ПРИМОРСКИЙ КРАЙ, Г. ВЛАДИВОСТОК, УЛ. ПУШКИНСКАЯ, Д.40</t>
        </is>
      </c>
      <c r="L23" s="6" t="n">
        <v>150</v>
      </c>
      <c r="M23" s="6" t="n">
        <v>2601450</v>
      </c>
      <c r="N23" s="6" t="n">
        <v>528315</v>
      </c>
      <c r="O23" s="6" t="n">
        <v>574656</v>
      </c>
      <c r="P23" s="5"/>
      <c r="Q23" s="5"/>
    </row>
    <row collapsed="false" customFormat="false" customHeight="false" hidden="false" ht="12.1" outlineLevel="0" r="24">
      <c r="A24" s="4" t="s">
        <f>HYPERLINK("https://www.list-org.com/company/471159","https://www.list-org.com/company/471159")</f>
      </c>
      <c r="B24" s="5" t="inlineStr">
        <is>
          <t>ООО "СМС-ИТ"</t>
        </is>
      </c>
      <c r="C24" s="5" t="inlineStr">
        <is>
          <t>ОБЩЕСТВО С ОГРАНИЧЕННОЙ ОТВЕТСТВЕННОСТЬЮ "СМС- ИНФОРМАЦИОННЫЕ ТЕХНОЛОГИИ"</t>
        </is>
      </c>
      <c r="D24" s="5" t="inlineStr">
        <is>
          <t>действующее</t>
        </is>
      </c>
      <c r="E24" s="5" t="inlineStr">
        <is>
          <t>ШОПИН АНДРЕЙ ГЕННАДЬЕВИЧ</t>
        </is>
      </c>
      <c r="F24" s="5" t="inlineStr">
        <is>
          <t>6312052132</t>
        </is>
      </c>
      <c r="G24" s="5" t="inlineStr">
        <is>
          <t>1036300125531</t>
        </is>
      </c>
      <c r="H24" s="5" t="inlineStr">
        <is>
          <t>+7 (846) 992-73-43</t>
        </is>
      </c>
      <c r="I24" s="5" t="inlineStr">
        <is>
          <t>info@sms-it.ru</t>
        </is>
      </c>
      <c r="J24" s="5" t="inlineStr">
        <is>
          <t>www.sms-it.ru</t>
        </is>
      </c>
      <c r="K24" s="5" t="inlineStr">
        <is>
          <t>443035, САМАРСКАЯ ОБЛАСТЬ, Г. САМАРА, УЛ. МИНСКАЯ, Д. 25, СЕКЦИЯ 3</t>
        </is>
      </c>
      <c r="L24" s="6" t="n">
        <v>239</v>
      </c>
      <c r="M24" s="6" t="n">
        <v>718539</v>
      </c>
      <c r="N24" s="6" t="n">
        <v>52433</v>
      </c>
      <c r="O24" s="6" t="n">
        <v>69757</v>
      </c>
      <c r="P24" s="5"/>
      <c r="Q24" s="5"/>
    </row>
    <row collapsed="false" customFormat="false" customHeight="false" hidden="false" ht="12.1" outlineLevel="0" r="25">
      <c r="A25" s="4" t="s">
        <f>HYPERLINK("https://www.list-org.com/company/484625","https://www.list-org.com/company/484625")</f>
      </c>
      <c r="B25" s="5" t="inlineStr">
        <is>
          <t>ООО "ТЕКОМ"</t>
        </is>
      </c>
      <c r="C25" s="5" t="inlineStr">
        <is>
          <t>ОБЩЕСТВО С ОГРАНИЧЕННОЙ ОТВЕТСТВЕННОСТЬЮ "ТЕКОМ"</t>
        </is>
      </c>
      <c r="D25" s="5" t="inlineStr">
        <is>
          <t>действующее</t>
        </is>
      </c>
      <c r="E25" s="5" t="inlineStr">
        <is>
          <t>ГАЙНУЛИН АНДРЕЙ ГАБДУЛХАКОВИЧ</t>
        </is>
      </c>
      <c r="F25" s="5" t="inlineStr">
        <is>
          <t>5260115228</t>
        </is>
      </c>
      <c r="G25" s="5" t="inlineStr">
        <is>
          <t>1035205390483</t>
        </is>
      </c>
      <c r="H25" s="5" t="inlineStr">
        <is>
          <t>+7 (8312) 36-61-71</t>
        </is>
      </c>
      <c r="I25" s="5" t="inlineStr">
        <is>
          <t>tecom.info@tecomgroup.ru</t>
        </is>
      </c>
      <c r="J25" s="5" t="inlineStr">
        <is>
          <t>www.tecomgroup.ru</t>
        </is>
      </c>
      <c r="K25" s="5" t="inlineStr">
        <is>
          <t>603071, НИЖЕГОРОДСКАЯ ОБЛАСТЬ, ГОРОД НИЖНИЙ НОВГОРОД, Г. НИЖНИЙ НОВГОРОД, Г НИЖНИЙ НОВГОРОД, УЛ КАРЛА МАРКСА, Д. 44Б, ОФИС 701 ПОМЕЩЕНИЕ 1</t>
        </is>
      </c>
      <c r="L25" s="6" t="n">
        <v>131</v>
      </c>
      <c r="M25" s="6" t="n">
        <v>293786</v>
      </c>
      <c r="N25" s="6" t="n">
        <v>-50350</v>
      </c>
      <c r="O25" s="6" t="n">
        <v>141724</v>
      </c>
      <c r="P25" s="5"/>
      <c r="Q25" s="5"/>
    </row>
    <row collapsed="false" customFormat="false" customHeight="false" hidden="false" ht="12.1" outlineLevel="0" r="26">
      <c r="A26" s="4" t="s">
        <f>HYPERLINK("https://www.list-org.com/company/493348","https://www.list-org.com/company/493348")</f>
      </c>
      <c r="B26" s="5" t="inlineStr">
        <is>
          <t>ООО "ЛЕСТА"</t>
        </is>
      </c>
      <c r="C26" s="5" t="inlineStr">
        <is>
          <t>ОБЩЕСТВО С ОГРАНИЧЕННОЙ ОТВЕТСТВЕННОСТЬЮ "ЛЕСТА"</t>
        </is>
      </c>
      <c r="D26" s="5" t="inlineStr">
        <is>
          <t>действующее</t>
        </is>
      </c>
      <c r="E26" s="5" t="inlineStr">
        <is>
          <t>ГЕНЕРАЛЬНЫЙ ДИРЕКТОР СУХАРЕВ ЮРИЙ ИВАНОВИЧ</t>
        </is>
      </c>
      <c r="F26" s="5" t="inlineStr">
        <is>
          <t>7806038436</t>
        </is>
      </c>
      <c r="G26" s="5" t="inlineStr">
        <is>
          <t>1037816024883</t>
        </is>
      </c>
      <c r="H26" s="5" t="inlineStr">
        <is>
          <t>+7 (812) 320-84-45</t>
        </is>
      </c>
      <c r="I26" s="5" t="inlineStr">
        <is>
          <t>studio@lesta.ru</t>
        </is>
      </c>
      <c r="J26" s="5" t="inlineStr">
        <is>
          <t>http://lesta.ru</t>
        </is>
      </c>
      <c r="K26" s="5" t="inlineStr">
        <is>
          <t>195112, Г.САНКТ-ПЕТЕРБУРГ, ПЛ. КАРЛА ФАБЕРЖЕ, Д. 8, ЛИТЕР В, ПОМЕЩ. 40Н</t>
        </is>
      </c>
      <c r="L26" s="6" t="n">
        <v>462</v>
      </c>
      <c r="M26" s="6" t="n">
        <v>5860140</v>
      </c>
      <c r="N26" s="6" t="n">
        <v>145203</v>
      </c>
      <c r="O26" s="6" t="n">
        <v>145720</v>
      </c>
      <c r="P26" s="5"/>
      <c r="Q26" s="5"/>
    </row>
    <row collapsed="false" customFormat="false" customHeight="false" hidden="false" ht="12.1" outlineLevel="0" r="27">
      <c r="A27" s="4" t="s">
        <f>HYPERLINK("https://www.list-org.com/company/511741","https://www.list-org.com/company/511741")</f>
      </c>
      <c r="B27" s="5" t="inlineStr">
        <is>
          <t>АО "ИСТ"</t>
        </is>
      </c>
      <c r="C27" s="5" t="inlineStr">
        <is>
          <t>АКЦИОНЕРНОЕ ОБЩЕСТВО "ИНСТИТУТ СЕТЕВЫХ ТЕХНОЛОГИЙ"</t>
        </is>
      </c>
      <c r="D27" s="5" t="inlineStr">
        <is>
          <t>действующее</t>
        </is>
      </c>
      <c r="E27" s="5" t="inlineStr">
        <is>
          <t>ОРЕХОВА НАТАЛЬЯ АЛЕКСАНДРОВНА</t>
        </is>
      </c>
      <c r="F27" s="5" t="inlineStr">
        <is>
          <t>7825347630</t>
        </is>
      </c>
      <c r="G27" s="5" t="inlineStr">
        <is>
          <t>1027809192333</t>
        </is>
      </c>
      <c r="H27" s="5" t="inlineStr">
        <is>
          <t>+7 (812) 331-83-99</t>
        </is>
      </c>
      <c r="I27" s="5" t="inlineStr">
        <is>
          <t>info@int.spb.ru</t>
        </is>
      </c>
      <c r="J27" s="5" t="inlineStr">
        <is>
          <t>www.int.spb.ru</t>
        </is>
      </c>
      <c r="K27" s="5" t="inlineStr">
        <is>
          <t>199178, Г.Санкт-Петербург, ВНУТРИГОРОДСКАЯ ТЕРРИТОРИЯ ГОРОДА ФЕДЕРАЛЬНОГО ЗНАЧЕНИЯ МУНИЦИПАЛЬНЫЙ ОКРУГ ВАСИЛЬЕВСКИЙ, ЛИНИЯ 17-Я В.О., Д. 54, ПОМЕЩ. 1-Н</t>
        </is>
      </c>
      <c r="L27" s="6" t="n">
        <v>119</v>
      </c>
      <c r="M27" s="6" t="n">
        <v>961705</v>
      </c>
      <c r="N27" s="6" t="n">
        <v>79149</v>
      </c>
      <c r="O27" s="6" t="n">
        <v>238235</v>
      </c>
      <c r="P27" s="5"/>
      <c r="Q27" s="5"/>
    </row>
    <row collapsed="false" customFormat="false" customHeight="false" hidden="false" ht="12.1" outlineLevel="0" r="28">
      <c r="A28" s="4" t="s">
        <f>HYPERLINK("https://www.list-org.com/company/591438","https://www.list-org.com/company/591438")</f>
      </c>
      <c r="B28" s="5" t="inlineStr">
        <is>
          <t>ООО ИЦ "ИСКРА"</t>
        </is>
      </c>
      <c r="C28" s="5" t="inlineStr">
        <is>
          <t>ОБЩЕСТВО С ОГРАНИЧЕННОЙ ОТВЕТСТВЕННОСТЬЮ ИНФОРМАЦИОННЫЙ ЦЕНТР "ИСКРА"</t>
        </is>
      </c>
      <c r="D28" s="5" t="inlineStr">
        <is>
          <t>действующее</t>
        </is>
      </c>
      <c r="E28" s="5" t="inlineStr">
        <is>
          <t>ДИВНОГОРЦЕВ ДМИТРИЙ ИГОРЕВИЧ</t>
        </is>
      </c>
      <c r="F28" s="5" t="inlineStr">
        <is>
          <t>2466123347</t>
        </is>
      </c>
      <c r="G28" s="5" t="inlineStr">
        <is>
          <t>1042402972325</t>
        </is>
      </c>
      <c r="H28" s="5" t="inlineStr">
        <is>
          <t>+7 (391) 252-33-60</t>
        </is>
      </c>
      <c r="I28" s="5" t="inlineStr">
        <is>
          <t>info@ic-iskra.ru</t>
        </is>
      </c>
      <c r="J28" s="5" t="inlineStr">
        <is>
          <t>iskra-s.ru</t>
        </is>
      </c>
      <c r="K28" s="5" t="inlineStr">
        <is>
          <t>660075, КРАСНОЯРСКИЙ КРАЙ, Г. КРАСНОЯРСК, УЛ. МАЕРЧАКА, Д. 31А, ПОМЕЩЕНИЕ 14 ОФИС 3-18</t>
        </is>
      </c>
      <c r="L28" s="6" t="n">
        <v>122</v>
      </c>
      <c r="M28" s="6" t="n">
        <v>240856</v>
      </c>
      <c r="N28" s="6" t="n">
        <v>23417</v>
      </c>
      <c r="O28" s="6" t="n">
        <v>13534</v>
      </c>
      <c r="P28" s="5"/>
      <c r="Q28" s="5"/>
    </row>
    <row collapsed="false" customFormat="false" customHeight="false" hidden="false" ht="12.1" outlineLevel="0" r="29">
      <c r="A29" s="4" t="s">
        <f>HYPERLINK("https://www.list-org.com/company/597370","https://www.list-org.com/company/597370")</f>
      </c>
      <c r="B29" s="5" t="inlineStr">
        <is>
          <t>ООО "ЦИТАДЕЛЬ"</t>
        </is>
      </c>
      <c r="C29" s="5" t="inlineStr">
        <is>
          <t>ОБЩЕСТВО С ОГРАНИЧЕННОЙ ОТВЕТСТВЕННОСТЬЮ "ЦИТАДЕЛЬ"</t>
        </is>
      </c>
      <c r="D29" s="5" t="inlineStr">
        <is>
          <t>действующее</t>
        </is>
      </c>
      <c r="E29" s="5" t="inlineStr">
        <is>
          <t>ФОМИН МИХАИЛ МИХАЙЛОВИЧ</t>
        </is>
      </c>
      <c r="F29" s="5" t="inlineStr">
        <is>
          <t>5260146265</t>
        </is>
      </c>
      <c r="G29" s="5" t="inlineStr">
        <is>
          <t>1055238018098</t>
        </is>
      </c>
      <c r="H29" s="5" t="inlineStr">
        <is>
          <t>+7 (8312) 78-88-88</t>
        </is>
      </c>
      <c r="I29" s="5" t="inlineStr">
        <is>
          <t>info@ctdl.ru</t>
        </is>
      </c>
      <c r="J29" s="5" t="inlineStr">
        <is>
          <t>http://mfisoft.ru</t>
        </is>
      </c>
      <c r="K29" s="5" t="inlineStr">
        <is>
          <t>603093, НИЖЕГОРОДСКАЯ ОБЛАСТЬ, Г. НИЖНИЙ НОВГОРОД, УЛ. РОДИОНОВА, Д.192, К.1</t>
        </is>
      </c>
      <c r="L29" s="6" t="n">
        <v>361</v>
      </c>
      <c r="M29" s="6" t="n">
        <v>23692600</v>
      </c>
      <c r="N29" s="6" t="n">
        <v>8123780</v>
      </c>
      <c r="O29" s="6" t="n">
        <v>8166600</v>
      </c>
      <c r="P29" s="5"/>
      <c r="Q29" s="5"/>
    </row>
    <row collapsed="false" customFormat="false" customHeight="false" hidden="false" ht="12.1" outlineLevel="0" r="30">
      <c r="A30" s="4" t="s">
        <f>HYPERLINK("https://www.list-org.com/company/753175","https://www.list-org.com/company/753175")</f>
      </c>
      <c r="B30" s="5" t="inlineStr">
        <is>
          <t>АО АПИ "ВГ"</t>
        </is>
      </c>
      <c r="C30" s="5" t="inlineStr">
        <is>
          <t>АКЦИОНЕРНОЕ ОБЩЕСТВО АГЕНТСТВО ПРАВОВОЙ ИНФОРМАЦИИ "ВОРОБЬЕВЫ ГОРЫ"</t>
        </is>
      </c>
      <c r="D30" s="5" t="inlineStr">
        <is>
          <t>действующее</t>
        </is>
      </c>
      <c r="E30" s="5" t="inlineStr">
        <is>
          <t>НАЗАРЕНКО АЛЕКСАНДР ВЯЧЕСЛАВОВИЧ</t>
        </is>
      </c>
      <c r="F30" s="5" t="inlineStr">
        <is>
          <t>7706573045</t>
        </is>
      </c>
      <c r="G30" s="5" t="inlineStr">
        <is>
          <t>1057746481506</t>
        </is>
      </c>
      <c r="H30" s="5" t="inlineStr">
        <is>
          <t>+7 (495) 225-98-98</t>
        </is>
      </c>
      <c r="I30" s="5" t="inlineStr">
        <is>
          <t>veda@apivg.ru</t>
        </is>
      </c>
      <c r="J30" s="5" t="inlineStr">
        <is>
          <t>www.apivg.ru</t>
        </is>
      </c>
      <c r="K30" s="5" t="inlineStr">
        <is>
          <t>129085, МОСКВА ГОРОД, ПРОСПЕКТ МИРА, Д. 101, СТР. 1, ЭТ 1 ПОМ 1 КОМ 17</t>
        </is>
      </c>
      <c r="L30" s="6" t="n">
        <v>194</v>
      </c>
      <c r="M30" s="6" t="n">
        <v>660046</v>
      </c>
      <c r="N30" s="6" t="n">
        <v>23744</v>
      </c>
      <c r="O30" s="6" t="n">
        <v>170183</v>
      </c>
      <c r="P30" s="5"/>
      <c r="Q30" s="5"/>
    </row>
    <row collapsed="false" customFormat="false" customHeight="false" hidden="false" ht="12.1" outlineLevel="0" r="31">
      <c r="A31" s="4" t="s">
        <f>HYPERLINK("https://www.list-org.com/company/1021059","https://www.list-org.com/company/1021059")</f>
      </c>
      <c r="B31" s="5" t="inlineStr">
        <is>
          <t>ООО "ИНГЕОСЕРВИС"</t>
        </is>
      </c>
      <c r="C31" s="5" t="inlineStr">
        <is>
          <t>ОБЩЕСТВО С ОГРАНИЧЕННОЙ ОТВЕТСТВЕННОСТЬЮ "ИНГЕОСЕРВИС"</t>
        </is>
      </c>
      <c r="D31" s="5" t="inlineStr">
        <is>
          <t>действующее</t>
        </is>
      </c>
      <c r="E31" s="5" t="inlineStr">
        <is>
          <t>ЛУКАШОВ АНДРЕЙ ВИКТОРОВИЧ</t>
        </is>
      </c>
      <c r="F31" s="5" t="inlineStr">
        <is>
          <t>7202010406</t>
        </is>
      </c>
      <c r="G31" s="5" t="inlineStr">
        <is>
          <t>1037200563971</t>
        </is>
      </c>
      <c r="H31" s="5" t="inlineStr">
        <is>
          <t>+7 (3452) 75-70-90</t>
        </is>
      </c>
      <c r="I31" s="5" t="inlineStr">
        <is>
          <t>imerd@ingeos.info</t>
        </is>
      </c>
      <c r="J31" s="5" t="inlineStr">
        <is>
          <t>www.ingeos.info</t>
        </is>
      </c>
      <c r="K31" s="5" t="inlineStr">
        <is>
          <t>625019, ТЮМЕНСКАЯ ОБЛАСТЬ, Г. ТЮМЕНЬ, УЛ. РЕСПУБЛИКИ, Д. 211</t>
        </is>
      </c>
      <c r="L31" s="6" t="n">
        <v>140</v>
      </c>
      <c r="M31" s="6" t="n">
        <v>436389</v>
      </c>
      <c r="N31" s="6" t="n">
        <v>23513</v>
      </c>
      <c r="O31" s="6" t="n">
        <v>179198</v>
      </c>
      <c r="P31" s="5"/>
      <c r="Q31" s="5"/>
    </row>
    <row collapsed="false" customFormat="false" customHeight="false" hidden="false" ht="12.1" outlineLevel="0" r="32">
      <c r="A32" s="4" t="s">
        <f>HYPERLINK("https://www.list-org.com/company/1928620","https://www.list-org.com/company/1928620")</f>
      </c>
      <c r="B32" s="5" t="inlineStr">
        <is>
          <t>ООО "ЛУЧИ ЗДОРОВЬЕ"</t>
        </is>
      </c>
      <c r="C32" s="5" t="inlineStr">
        <is>
          <t>ОБЩЕСТВО С ОГРАНИЧЕННОЙ ОТВЕТСТВЕННОСТЬЮ "ЛУЧИ ЗДОРОВЬЕ"</t>
        </is>
      </c>
      <c r="D32" s="5" t="inlineStr">
        <is>
          <t>действующее</t>
        </is>
      </c>
      <c r="E32" s="5" t="inlineStr">
        <is>
          <t>САНЕВИЧ МАРК РАФАИЛОВИЧ</t>
        </is>
      </c>
      <c r="F32" s="5" t="inlineStr">
        <is>
          <t>7106021081</t>
        </is>
      </c>
      <c r="G32" s="5" t="inlineStr">
        <is>
          <t>1157154006767</t>
        </is>
      </c>
      <c r="H32" s="5" t="inlineStr">
        <is>
          <t>+7 (800) 777-05-03</t>
        </is>
      </c>
      <c r="I32" s="5" t="inlineStr">
        <is>
          <t>info@bestdoctor.ru</t>
        </is>
      </c>
      <c r="J32" s="5" t="inlineStr">
        <is>
          <t>https://bestdoctor.ru</t>
        </is>
      </c>
      <c r="K32" s="5" t="inlineStr">
        <is>
          <t>121205, Г.Москва, ВНУТРИГОРОДСКАЯ ТЕРРИТОРИЯ ГОРОДА ФЕДЕРАЛЬНОГО ЗНАЧЕНИЯ МУНИЦИПАЛЬНЫЙ ОКРУГ МОЖАЙСКИЙ, ТЕР СКОЛКОВО ИННОВАЦИОННОГО ЦЕНТРА, УЛ НОБЕЛЯ, Д. 7, ЭТАЖ / ПОМЕЩ. 4 / V, ЧАСТЬ КОМ. / РАБ. МЕСТО 57 / 3</t>
        </is>
      </c>
      <c r="L32" s="6" t="n">
        <v>308</v>
      </c>
      <c r="M32" s="6" t="n">
        <v>1174180</v>
      </c>
      <c r="N32" s="6" t="n">
        <v>-1574750</v>
      </c>
      <c r="O32" s="6" t="n">
        <v>-3018040</v>
      </c>
      <c r="P32" s="5"/>
      <c r="Q32" s="5"/>
    </row>
    <row collapsed="false" customFormat="false" customHeight="false" hidden="false" ht="12.1" outlineLevel="0" r="33">
      <c r="A33" s="4" t="s">
        <f>HYPERLINK("https://www.list-org.com/company/2419291","https://www.list-org.com/company/2419291")</f>
      </c>
      <c r="B33" s="5" t="inlineStr">
        <is>
          <t>ООО "СТМ"</t>
        </is>
      </c>
      <c r="C33" s="5" t="inlineStr">
        <is>
          <t>ОБЩЕСТВО С ОГРАНИЧЕННОЙ ОТВЕТСТВЕННОСТЬЮ "СТМ"</t>
        </is>
      </c>
      <c r="D33" s="5" t="inlineStr">
        <is>
          <t>действующее</t>
        </is>
      </c>
      <c r="E33" s="5" t="inlineStr">
        <is>
          <t>АНДРЕЕВ ОГНЯН ДИМИТРОВ</t>
        </is>
      </c>
      <c r="F33" s="5" t="inlineStr">
        <is>
          <t>7825679650</t>
        </is>
      </c>
      <c r="G33" s="5" t="inlineStr">
        <is>
          <t>1027809233374</t>
        </is>
      </c>
      <c r="H33" s="5" t="inlineStr">
        <is>
          <t>+7 (812) 327-85-39</t>
        </is>
      </c>
      <c r="I33" s="5" t="inlineStr">
        <is>
          <t>sales@ctm.ru</t>
        </is>
      </c>
      <c r="J33" s="5" t="inlineStr">
        <is>
          <t>www.ctm.ru</t>
        </is>
      </c>
      <c r="K33" s="5" t="inlineStr">
        <is>
          <t>191036, Г.САНКТ-ПЕТЕРБУРГ, УЛ. ПОЛТАВСКАЯ, Д. 7, ЛИТЕР Ж, ПОМЕЩ. 1Н</t>
        </is>
      </c>
      <c r="L33" s="6" t="n">
        <v>135</v>
      </c>
      <c r="M33" s="6" t="n">
        <v>437069</v>
      </c>
      <c r="N33" s="6" t="n">
        <v>63256</v>
      </c>
      <c r="O33" s="6" t="n">
        <v>484062</v>
      </c>
      <c r="P33" s="5"/>
      <c r="Q33" s="5"/>
    </row>
    <row collapsed="false" customFormat="false" customHeight="false" hidden="false" ht="12.1" outlineLevel="0" r="34">
      <c r="A34" s="4" t="s">
        <f>HYPERLINK("https://www.list-org.com/company/2727925","https://www.list-org.com/company/2727925")</f>
      </c>
      <c r="B34" s="5" t="inlineStr">
        <is>
          <t>ООО "ПАРАДОКС"</t>
        </is>
      </c>
      <c r="C34" s="5" t="inlineStr">
        <is>
          <t>ОБЩЕСТВО С ОГРАНИЧЕННОЙ ОТВЕТСТВЕННОСТЬЮ "ПАРАДОКС"</t>
        </is>
      </c>
      <c r="D34" s="5" t="inlineStr">
        <is>
          <t>действующее</t>
        </is>
      </c>
      <c r="E34" s="5" t="inlineStr">
        <is>
          <t>ВОЛЩУКОВ ЮРИЙ НИКОЛАЕВИЧ</t>
        </is>
      </c>
      <c r="F34" s="5" t="inlineStr">
        <is>
          <t>7444027511</t>
        </is>
      </c>
      <c r="G34" s="5" t="inlineStr">
        <is>
          <t>1027402057110</t>
        </is>
      </c>
      <c r="H34" s="5" t="inlineStr">
        <is>
          <t>+7 (3519) 41-12-12</t>
        </is>
      </c>
      <c r="I34" s="5" t="inlineStr">
        <is>
          <t>info@citparadox.ru</t>
        </is>
      </c>
      <c r="J34" s="5" t="inlineStr">
        <is>
          <t>citparadox.ru</t>
        </is>
      </c>
      <c r="K34" s="5" t="inlineStr">
        <is>
          <t>455008, ЧЕЛЯБИНСКАЯ ОБЛАСТЬ, МАГНИТОГОРСКИЙ, Г. МАГНИТОГОРСК, Г МАГНИТОГОРСК, УЛ ЖУКОВА, Д. 15, ПОМЕЩ. 2</t>
        </is>
      </c>
      <c r="L34" s="6" t="n">
        <v>109</v>
      </c>
      <c r="M34" s="6" t="n">
        <v>305041</v>
      </c>
      <c r="N34" s="6" t="n">
        <v>11998</v>
      </c>
      <c r="O34" s="6" t="n">
        <v>174271</v>
      </c>
      <c r="P34" s="5"/>
      <c r="Q34" s="5"/>
    </row>
    <row collapsed="false" customFormat="false" customHeight="false" hidden="false" ht="12.1" outlineLevel="0" r="35">
      <c r="A35" s="4" t="s">
        <f>HYPERLINK("https://www.list-org.com/company/2751369","https://www.list-org.com/company/2751369")</f>
      </c>
      <c r="B35" s="5" t="inlineStr">
        <is>
          <t>ООО "СИСТЕМНЫЕ ТЕХНОЛОГИИ"</t>
        </is>
      </c>
      <c r="C35" s="5" t="inlineStr">
        <is>
          <t>ОБЩЕСТВО С ОГРАНИЧЕННОЙ ОТВЕТСТВЕННОСТЬЮ "СИСТЕМНЫЕ ТЕХНОЛОГИИ"</t>
        </is>
      </c>
      <c r="D35" s="5" t="inlineStr">
        <is>
          <t>действующее</t>
        </is>
      </c>
      <c r="E35" s="5" t="inlineStr">
        <is>
          <t>ХАХАЛЕВА ЛАРИСА ВОЛГАНТОВНА</t>
        </is>
      </c>
      <c r="F35" s="5" t="inlineStr">
        <is>
          <t>3906083040</t>
        </is>
      </c>
      <c r="G35" s="5" t="inlineStr">
        <is>
          <t>1023900985976</t>
        </is>
      </c>
      <c r="H35" s="5" t="inlineStr">
        <is>
          <t>+7 (4012) 49-71-75</t>
        </is>
      </c>
      <c r="I35" s="5" t="inlineStr">
        <is>
          <t>l.kubikovskaya@systtech.ru, o.semenchatenko@systtech.ru</t>
        </is>
      </c>
      <c r="J35" s="5" t="inlineStr">
        <is>
          <t>http://st-mobi.com</t>
        </is>
      </c>
      <c r="K35" s="5" t="inlineStr">
        <is>
          <t>236029, КАЛИНИНГРАДСКАЯ ОБЛАСТЬ, ГОРОД КАЛИНИНГРАД, Г. Калининград, Г КАЛИНИНГРАД, УЛ А.НЕВСКОГО, Д. 214, ОФИС 8</t>
        </is>
      </c>
      <c r="L35" s="6" t="n">
        <v>188</v>
      </c>
      <c r="M35" s="6" t="n">
        <v>492403</v>
      </c>
      <c r="N35" s="6" t="n">
        <v>87494</v>
      </c>
      <c r="O35" s="6" t="n">
        <v>193408</v>
      </c>
      <c r="P35" s="5"/>
      <c r="Q35" s="5"/>
    </row>
    <row collapsed="false" customFormat="false" customHeight="false" hidden="false" ht="12.1" outlineLevel="0" r="36">
      <c r="A36" s="4" t="s">
        <f>HYPERLINK("https://www.list-org.com/company/2917482","https://www.list-org.com/company/2917482")</f>
      </c>
      <c r="B36" s="5" t="inlineStr">
        <is>
          <t>ООО "КОРУС КОНСАЛТИНГ ГК"</t>
        </is>
      </c>
      <c r="C36" s="5" t="inlineStr">
        <is>
          <t>ОБЩЕСТВО С ОГРАНИЧЕННОЙ ОТВЕТСТВЕННОСТЬЮ "ГРУППА КОМПАНИЙ "КОРУС КОНСАЛТИНГ"</t>
        </is>
      </c>
      <c r="D36" s="5" t="inlineStr">
        <is>
          <t>действующее</t>
        </is>
      </c>
      <c r="E36" s="5" t="inlineStr">
        <is>
          <t>СЕМЕНОВ АЛЕКСАНДР ВЛАДИМИРОВИЧ</t>
        </is>
      </c>
      <c r="F36" s="5" t="inlineStr">
        <is>
          <t>7811090505</t>
        </is>
      </c>
      <c r="G36" s="5" t="inlineStr">
        <is>
          <t>1037825022553</t>
        </is>
      </c>
      <c r="H36" s="5" t="inlineStr">
        <is>
          <t>+7 (812) 324-24-57</t>
        </is>
      </c>
      <c r="I36" s="5" t="inlineStr">
        <is>
          <t>tender@korusconsulting.ru</t>
        </is>
      </c>
      <c r="J36" s="5" t="inlineStr">
        <is>
          <t>korusconsulting.ru</t>
        </is>
      </c>
      <c r="K36" s="5" t="inlineStr">
        <is>
          <t>191119, САНКТ-ПЕТЕРБУРГ ГОРОД, УЛИЦА МАРАТА, Д. 55/5, ЛИТЕР А, ПОМЕЩ. 5Н</t>
        </is>
      </c>
      <c r="L36" s="6" t="n">
        <v>107</v>
      </c>
      <c r="M36" s="6" t="n">
        <v>1863930</v>
      </c>
      <c r="N36" s="6" t="n">
        <v>188550</v>
      </c>
      <c r="O36" s="6" t="n">
        <v>1409020</v>
      </c>
      <c r="P36" s="5"/>
      <c r="Q36" s="5"/>
    </row>
    <row collapsed="false" customFormat="false" customHeight="false" hidden="false" ht="12.1" outlineLevel="0" r="37">
      <c r="A37" s="4" t="s">
        <f>HYPERLINK("https://www.list-org.com/company/2918321","https://www.list-org.com/company/2918321")</f>
      </c>
      <c r="B37" s="5" t="inlineStr">
        <is>
          <t>ООО "НТЦ ПРОТЕЙ"</t>
        </is>
      </c>
      <c r="C37" s="5" t="inlineStr">
        <is>
          <t>ОБЩЕСТВО С ОГРАНИЧЕННОЙ ОТВЕТСТВЕННОСТЬЮ "НАУЧНО-ТЕХНИЧЕСКИЙ ЦЕНТР ПРОТЕЙ"</t>
        </is>
      </c>
      <c r="D37" s="5" t="inlineStr">
        <is>
          <t>действующее</t>
        </is>
      </c>
      <c r="E37" s="5" t="inlineStr">
        <is>
          <t>АПОСТОЛОВА НИНА АНАТОЛЬЕВНА</t>
        </is>
      </c>
      <c r="F37" s="5" t="inlineStr">
        <is>
          <t>7825483961</t>
        </is>
      </c>
      <c r="G37" s="5" t="inlineStr">
        <is>
          <t>1027809185227</t>
        </is>
      </c>
      <c r="H37" s="5" t="inlineStr">
        <is>
          <t>+7 (812) 274-51-39</t>
        </is>
      </c>
      <c r="I37" s="5" t="inlineStr">
        <is>
          <t>tender@protei.ru</t>
        </is>
      </c>
      <c r="J37" s="5" t="inlineStr">
        <is>
          <t>www.protei.ru</t>
        </is>
      </c>
      <c r="K37" s="5" t="inlineStr">
        <is>
          <t>197183, Г.САНКТ-ПЕТЕРБУРГ, АЛ. ЛИПОВАЯ, Д. 9, ЛИТЕР А, ПОМ.21Н КОМН.523</t>
        </is>
      </c>
      <c r="L37" s="6" t="n">
        <v>300</v>
      </c>
      <c r="M37" s="6" t="n">
        <v>2812750</v>
      </c>
      <c r="N37" s="6" t="n">
        <v>303509</v>
      </c>
      <c r="O37" s="6" t="n">
        <v>-53659</v>
      </c>
      <c r="P37" s="5"/>
      <c r="Q37" s="5"/>
    </row>
    <row collapsed="false" customFormat="false" customHeight="false" hidden="false" ht="12.1" outlineLevel="0" r="38">
      <c r="A38" s="4" t="s">
        <f>HYPERLINK("https://www.list-org.com/company/3331981","https://www.list-org.com/company/3331981")</f>
      </c>
      <c r="B38" s="5" t="inlineStr">
        <is>
          <t>ООО "ЭНЕРГОДИАГНОСТИКА"</t>
        </is>
      </c>
      <c r="C38" s="5" t="inlineStr">
        <is>
          <t>ОБЩЕСТВО С ОГРАНИЧЕННОЙ ОТВЕТСТВЕННОСТЬЮ "ЭНЕРГОДИАГНОСТИКА"</t>
        </is>
      </c>
      <c r="D38" s="5" t="inlineStr">
        <is>
          <t>действующее</t>
        </is>
      </c>
      <c r="E38" s="5" t="inlineStr">
        <is>
          <t>ВЛАСОВ СЕРГЕЙ ВИКТОРОВИЧ</t>
        </is>
      </c>
      <c r="F38" s="5" t="inlineStr">
        <is>
          <t>7727255565</t>
        </is>
      </c>
      <c r="G38" s="5" t="inlineStr">
        <is>
          <t>1037727037600</t>
        </is>
      </c>
      <c r="H38" s="5" t="inlineStr">
        <is>
          <t>+7 (495) 124-27-37</t>
        </is>
      </c>
      <c r="I38" s="5" t="inlineStr">
        <is>
          <t>office@energo-diagnostika.ru</t>
        </is>
      </c>
      <c r="J38" s="5" t="inlineStr">
        <is>
          <t>http://energo-diagnostika.ru</t>
        </is>
      </c>
      <c r="K38" s="5" t="inlineStr">
        <is>
          <t>117218, Г.МОСКВА, УЛ. КРЖИЖАНОВСКОГО, Д.21/33, К.1</t>
        </is>
      </c>
      <c r="L38" s="6" t="n">
        <v>133</v>
      </c>
      <c r="M38" s="6" t="n">
        <v>271163</v>
      </c>
      <c r="N38" s="6" t="n">
        <v>1040</v>
      </c>
      <c r="O38" s="6" t="n">
        <v>430328</v>
      </c>
      <c r="P38" s="5"/>
      <c r="Q38" s="5"/>
    </row>
    <row collapsed="false" customFormat="false" customHeight="false" hidden="false" ht="12.1" outlineLevel="0" r="39">
      <c r="A39" s="4" t="s">
        <f>HYPERLINK("https://www.list-org.com/company/3449934","https://www.list-org.com/company/3449934")</f>
      </c>
      <c r="B39" s="5" t="inlineStr">
        <is>
          <t>ООО "НПП "АВИАТРОН"</t>
        </is>
      </c>
      <c r="C39" s="5" t="inlineStr">
        <is>
          <t>ОБЩЕСТВО С ОГРАНИЧЕННОЙ ОТВЕТСТВЕННОСТЬЮ "НАУЧНО-ПРОИЗВОДСТВЕННОЕ ПРЕДПРИЯТИЕ "АВИАТРОН"</t>
        </is>
      </c>
      <c r="D39" s="5" t="inlineStr">
        <is>
          <t>действующее</t>
        </is>
      </c>
      <c r="E39" s="5" t="inlineStr">
        <is>
          <t>БИКБУЛАТОВ ЮРИЙ ВЛАДИСЛАВОВИЧ</t>
        </is>
      </c>
      <c r="F39" s="5" t="inlineStr">
        <is>
          <t>0278101474</t>
        </is>
      </c>
      <c r="G39" s="5" t="inlineStr">
        <is>
          <t>1040204597619</t>
        </is>
      </c>
      <c r="H39" s="5" t="inlineStr">
        <is>
          <t>+7 (347) 246-59-49</t>
        </is>
      </c>
      <c r="I39" s="5" t="inlineStr">
        <is>
          <t>mail@aviatron-ufa.ru</t>
        </is>
      </c>
      <c r="J39" s="5" t="inlineStr">
        <is>
          <t>www.aviatron-ufa.ru</t>
        </is>
      </c>
      <c r="K39" s="5" t="inlineStr">
        <is>
          <t>450071, РЕСПУБЛИКА БАШКОРТОСТАН, ГОРОД УФА, Г. УФА, Г УФА, УЛ 50 ЛЕТ СССР, Д. 42/3</t>
        </is>
      </c>
      <c r="L39" s="6" t="n">
        <v>191</v>
      </c>
      <c r="M39" s="6" t="n">
        <v>1763260</v>
      </c>
      <c r="N39" s="6" t="n">
        <v>114119</v>
      </c>
      <c r="O39" s="6" t="n">
        <v>126170</v>
      </c>
      <c r="P39" s="5"/>
      <c r="Q39" s="5"/>
    </row>
    <row collapsed="false" customFormat="false" customHeight="false" hidden="false" ht="12.1" outlineLevel="0" r="40">
      <c r="A40" s="4" t="s">
        <f>HYPERLINK("https://www.list-org.com/company/3569466","https://www.list-org.com/company/3569466")</f>
      </c>
      <c r="B40" s="5" t="inlineStr">
        <is>
          <t>ООО "АСУ ПРО"</t>
        </is>
      </c>
      <c r="C40" s="5" t="inlineStr">
        <is>
          <t>ОБЩЕСТВО С ОГРАНИЧЕННОЙ ОТВЕТСТВЕННОСТЬЮ "АСУ ПРО"</t>
        </is>
      </c>
      <c r="D40" s="5" t="inlineStr">
        <is>
          <t>действующее</t>
        </is>
      </c>
      <c r="E40" s="5" t="inlineStr">
        <is>
          <t>ПИРОГОВ ВЛАДИМИР АЛЕКСАНДРОВИЧ</t>
        </is>
      </c>
      <c r="F40" s="5" t="inlineStr">
        <is>
          <t>5610083053</t>
        </is>
      </c>
      <c r="G40" s="5" t="inlineStr">
        <is>
          <t>1045605467423</t>
        </is>
      </c>
      <c r="H40" s="5" t="inlineStr">
        <is>
          <t>+7 (3532) 76-70-07</t>
        </is>
      </c>
      <c r="I40" s="5" t="inlineStr">
        <is>
          <t>mve@asupro.ru</t>
        </is>
      </c>
      <c r="J40" s="5" t="inlineStr">
        <is>
          <t>www.asupro.ru</t>
        </is>
      </c>
      <c r="K40" s="5" t="inlineStr">
        <is>
          <t>460000, ОРЕНБУРГСКАЯ ОБЛАСТЬ, ГОРОД ОРЕНБУРГ, Г. Оренбург, Г ОРЕНБУРГ, УЛ ЧЕРЕПАНОВЫХ, Д. 7</t>
        </is>
      </c>
      <c r="L40" s="6" t="n">
        <v>313</v>
      </c>
      <c r="M40" s="6" t="n">
        <v>1091340</v>
      </c>
      <c r="N40" s="6" t="n">
        <v>28858</v>
      </c>
      <c r="O40" s="6" t="n">
        <v>270110</v>
      </c>
      <c r="P40" s="5"/>
      <c r="Q40" s="5"/>
    </row>
    <row collapsed="false" customFormat="false" customHeight="false" hidden="false" ht="12.1" outlineLevel="0" r="41">
      <c r="A41" s="4" t="s">
        <f>HYPERLINK("https://www.list-org.com/company/3780549","https://www.list-org.com/company/3780549")</f>
      </c>
      <c r="B41" s="5" t="inlineStr">
        <is>
          <t>ООО "АЙТУЛАБС"</t>
        </is>
      </c>
      <c r="C41" s="5" t="inlineStr">
        <is>
          <t>ОБЩЕСТВО С ОГРАНИЧЕННОЙ ОТВЕТСТВЕННОСТЬЮ "АЙТУЛАБС"</t>
        </is>
      </c>
      <c r="D41" s="5" t="inlineStr">
        <is>
          <t>действующее</t>
        </is>
      </c>
      <c r="E41" s="5" t="inlineStr">
        <is>
          <t>ПОДКОЛЬЗИН АНДРЕЙ АЛЕКСАНДРОВИЧ</t>
        </is>
      </c>
      <c r="F41" s="5" t="inlineStr">
        <is>
          <t>7728544305</t>
        </is>
      </c>
      <c r="G41" s="5" t="inlineStr">
        <is>
          <t>1057746632888</t>
        </is>
      </c>
      <c r="H41" s="5" t="inlineStr">
        <is>
          <t>+7 (4872) 71-70-81</t>
        </is>
      </c>
      <c r="I41" s="5" t="inlineStr">
        <is>
          <t>hi@itoolabs.com</t>
        </is>
      </c>
      <c r="J41" s="5" t="inlineStr">
        <is>
          <t>www.itoolabs.com</t>
        </is>
      </c>
      <c r="K41" s="5" t="inlineStr">
        <is>
          <t>119618, Г.МОСКВА, ВНУТРИГОРОДСКАЯ ТЕРРИТОРИЯ ГОРОДА ФЕДЕРАЛЬНОГО ЗНАЧЕНИЯ МУНИЦИПАЛЬНЫЙ ОКРУГ СОЛНЦЕВО, УЛ БОГДАНОВА, Д. 6, КВ. 76</t>
        </is>
      </c>
      <c r="L41" s="6" t="n">
        <v>140</v>
      </c>
      <c r="M41" s="6" t="n">
        <v>611897</v>
      </c>
      <c r="N41" s="6" t="n">
        <v>71546</v>
      </c>
      <c r="O41" s="6" t="n">
        <v>107465</v>
      </c>
      <c r="P41" s="5"/>
      <c r="Q41" s="5"/>
    </row>
    <row collapsed="false" customFormat="false" customHeight="false" hidden="false" ht="12.1" outlineLevel="0" r="42">
      <c r="A42" s="4" t="s">
        <f>HYPERLINK("https://www.list-org.com/company/3844128","https://www.list-org.com/company/3844128")</f>
      </c>
      <c r="B42" s="5" t="inlineStr">
        <is>
          <t>ООО "ДИАСОФТ"</t>
        </is>
      </c>
      <c r="C42" s="5" t="inlineStr">
        <is>
          <t>ОБЩЕСТВО С ОГРАНИЧЕННОЙ ОТВЕТСТВЕННОСТЬЮ "ДИАСОФТ"</t>
        </is>
      </c>
      <c r="D42" s="5" t="inlineStr">
        <is>
          <t>действующее</t>
        </is>
      </c>
      <c r="E42" s="5" t="inlineStr">
        <is>
          <t>  </t>
        </is>
      </c>
      <c r="F42" s="5" t="inlineStr">
        <is>
          <t>7715560268</t>
        </is>
      </c>
      <c r="G42" s="5" t="inlineStr">
        <is>
          <t>1057746642436</t>
        </is>
      </c>
      <c r="H42" s="5" t="inlineStr">
        <is>
          <t>+7 (495) 780-75-75</t>
        </is>
      </c>
      <c r="I42" s="5" t="inlineStr">
        <is>
          <t>info@diasoft.ru</t>
        </is>
      </c>
      <c r="J42" s="5" t="inlineStr">
        <is>
          <t>https://www.diasoft.ru</t>
        </is>
      </c>
      <c r="K42" s="5" t="inlineStr">
        <is>
          <t>127018, МОСКВА ГОРОД, УЛ. ПОЛКОВАЯ, Д. 3, СТР. 14, КОМ. 303</t>
        </is>
      </c>
      <c r="L42" s="6" t="n">
        <v>493</v>
      </c>
      <c r="M42" s="6" t="n">
        <v>7296670</v>
      </c>
      <c r="N42" s="6" t="n">
        <v>1199450</v>
      </c>
      <c r="O42" s="6" t="n">
        <v>745004</v>
      </c>
      <c r="P42" s="5"/>
      <c r="Q42" s="5"/>
    </row>
    <row collapsed="false" customFormat="false" customHeight="false" hidden="false" ht="12.1" outlineLevel="0" r="43">
      <c r="A43" s="4" t="s">
        <f>HYPERLINK("https://www.list-org.com/company/4000083","https://www.list-org.com/company/4000083")</f>
      </c>
      <c r="B43" s="5" t="inlineStr">
        <is>
          <t>ООО"ЛИТРЕС"</t>
        </is>
      </c>
      <c r="C43" s="5" t="inlineStr">
        <is>
          <t>ОБЩЕСТВО С ОГРАНИЧЕННОЙ ОТВЕТСТВЕННОСТЬЮ "ЛИТРЕС"</t>
        </is>
      </c>
      <c r="D43" s="5" t="inlineStr">
        <is>
          <t>действующее</t>
        </is>
      </c>
      <c r="E43" s="5" t="inlineStr">
        <is>
          <t>АНУРЬЕВ СЕРГЕЙ ВАЛЕРЬЕВИЧ</t>
        </is>
      </c>
      <c r="F43" s="5" t="inlineStr">
        <is>
          <t>7719571260</t>
        </is>
      </c>
      <c r="G43" s="5" t="inlineStr">
        <is>
          <t>1057748936398</t>
        </is>
      </c>
      <c r="H43" s="5" t="inlineStr">
        <is>
          <t>+7 (495) 661-08-93</t>
        </is>
      </c>
      <c r="I43" s="5" t="inlineStr">
        <is>
          <t>sukhova@litres.ru</t>
        </is>
      </c>
      <c r="J43" s="5" t="inlineStr">
        <is>
          <t>www.litres.ru</t>
        </is>
      </c>
      <c r="K43" s="5" t="inlineStr">
        <is>
          <t>123112, Г.МОСКВА, ПР-Д 1-Й КРАСНОГВАРДЕЙСКИЙ, Д. 15, ЭТАЖ 28</t>
        </is>
      </c>
      <c r="L43" s="6" t="n">
        <v>198</v>
      </c>
      <c r="M43" s="6" t="n">
        <v>7746590</v>
      </c>
      <c r="N43" s="6" t="n">
        <v>592858</v>
      </c>
      <c r="O43" s="6" t="n">
        <v>313717</v>
      </c>
      <c r="P43" s="5"/>
      <c r="Q43" s="5"/>
    </row>
    <row collapsed="false" customFormat="false" customHeight="false" hidden="false" ht="12.1" outlineLevel="0" r="44">
      <c r="A44" s="4" t="s">
        <f>HYPERLINK("https://www.list-org.com/company/4200400","https://www.list-org.com/company/4200400")</f>
      </c>
      <c r="B44" s="5" t="inlineStr">
        <is>
          <t>ООО "ВЦ "1С-РАРУС-СПБ"</t>
        </is>
      </c>
      <c r="C44" s="5" t="inlineStr">
        <is>
          <t>ОБЩЕСТВО С ОГРАНИЧЕННОЙ ОТВЕТСТВЕННОСТЬЮ "ВНЕДРЕНЧЕСКИЙ ЦЕНТР "1С-РАРУС-СПБ"</t>
        </is>
      </c>
      <c r="D44" s="5" t="inlineStr">
        <is>
          <t>действующее</t>
        </is>
      </c>
      <c r="E44" s="5" t="inlineStr">
        <is>
          <t>БУГАЕВ РОМАН ВАЛЕРЬЕВИЧ</t>
        </is>
      </c>
      <c r="F44" s="5" t="inlineStr">
        <is>
          <t>7842339492</t>
        </is>
      </c>
      <c r="G44" s="5" t="inlineStr">
        <is>
          <t>5067847177899</t>
        </is>
      </c>
      <c r="H44" s="5" t="inlineStr">
        <is>
          <t>+7 (905) 203-96-68</t>
        </is>
      </c>
      <c r="I44" s="5" t="inlineStr">
        <is>
          <t>info.spb@rarus.ru</t>
        </is>
      </c>
      <c r="J44" s="5" t="inlineStr">
        <is>
          <t>http://taximaster.ru</t>
        </is>
      </c>
      <c r="K44" s="5" t="inlineStr">
        <is>
          <t>197022, Г.САНКТ-ПЕТЕРБУРГ, МУНИЦИПАЛЬНЫЙ ОКРУГ АПТЕКАРСКИЙ ОСТРОВ, УЛ ПРОФЕССОРА ПОПОВА, Д. 23,ЛИТЕРА А, ЛИТЕРА А, ПОМЕЩ. 5-Н, №1ЧАСТЬ, 2ЧАСТЬ, 6-15, 16ЧАСТЬ, 17ЧАСТ</t>
        </is>
      </c>
      <c r="L44" s="6" t="n">
        <v>109</v>
      </c>
      <c r="M44" s="6" t="n">
        <v>416785</v>
      </c>
      <c r="N44" s="6" t="n">
        <v>-27713</v>
      </c>
      <c r="O44" s="6" t="n">
        <v>11103</v>
      </c>
      <c r="P44" s="5"/>
      <c r="Q44" s="5"/>
    </row>
    <row collapsed="false" customFormat="false" customHeight="false" hidden="false" ht="12.1" outlineLevel="0" r="45">
      <c r="A45" s="4" t="s">
        <f>HYPERLINK("https://www.list-org.com/company/4287901","https://www.list-org.com/company/4287901")</f>
      </c>
      <c r="B45" s="5" t="inlineStr">
        <is>
          <t>ООО "РЕГ.РУ"</t>
        </is>
      </c>
      <c r="C45" s="5" t="inlineStr">
        <is>
          <t>ОБЩЕСТВО С ОГРАНИЧЕННОЙ ОТВЕТСТВЕННОСТЬЮ "РЕГИСТРАТОР ДОМЕННЫХ ИМЕН РЕГ.РУ"</t>
        </is>
      </c>
      <c r="D45" s="5" t="inlineStr">
        <is>
          <t>действующее</t>
        </is>
      </c>
      <c r="E45" s="5" t="inlineStr">
        <is>
          <t>КУЗЬМИЧЕВ АНДРЕЙ ЮРЬЕВИЧ</t>
        </is>
      </c>
      <c r="F45" s="5" t="inlineStr">
        <is>
          <t>7733568767</t>
        </is>
      </c>
      <c r="G45" s="5" t="inlineStr">
        <is>
          <t>1067746613494</t>
        </is>
      </c>
      <c r="H45" s="5" t="inlineStr">
        <is>
          <t>+7 (495) 514-05-73</t>
        </is>
      </c>
      <c r="I45" s="5" t="inlineStr">
        <is>
          <t>info@reg.ru</t>
        </is>
      </c>
      <c r="J45" s="5" t="inlineStr">
        <is>
          <t>www.reg.ru</t>
        </is>
      </c>
      <c r="K45" s="5" t="inlineStr">
        <is>
          <t>125315, Г.Москва, ВНУТРИГОРОДСКАЯ ТЕРРИТОРИЯ ГОРОДА ФЕДЕРАЛЬНОГО ЗНАЧЕНИЯ МУНИЦИПАЛЬНЫЙ ОКРУГ АЭРОПОРТ, ПР-КТ ЛЕНИНГРАДСКИЙ, Д. 72</t>
        </is>
      </c>
      <c r="L45" s="6" t="n">
        <v>202</v>
      </c>
      <c r="M45" s="6" t="n">
        <v>3631640</v>
      </c>
      <c r="N45" s="6" t="n">
        <v>704833</v>
      </c>
      <c r="O45" s="6" t="n">
        <v>1203210</v>
      </c>
      <c r="P45" s="5"/>
      <c r="Q45" s="5"/>
    </row>
    <row collapsed="false" customFormat="false" customHeight="false" hidden="false" ht="12.1" outlineLevel="0" r="46">
      <c r="A46" s="4" t="s">
        <f>HYPERLINK("https://www.list-org.com/company/4370857","https://www.list-org.com/company/4370857")</f>
      </c>
      <c r="B46" s="5" t="inlineStr">
        <is>
          <t>АО "РСИЦ"</t>
        </is>
      </c>
      <c r="C46" s="5" t="inlineStr">
        <is>
          <t>АКЦИОНЕРНОЕ ОБЩЕСТВО "РЕГИОНАЛЬНЫЙ СЕТЕВОЙ ИНФОРМАЦИОННЫЙ ЦЕНТР"</t>
        </is>
      </c>
      <c r="D46" s="5" t="inlineStr">
        <is>
          <t>действующее</t>
        </is>
      </c>
      <c r="E46" s="5" t="inlineStr">
        <is>
          <t>КУЗЬМИЧЕВ АНДРЕЙ ЮРЬЕВИЧ</t>
        </is>
      </c>
      <c r="F46" s="5" t="inlineStr">
        <is>
          <t>7733573894</t>
        </is>
      </c>
      <c r="G46" s="5" t="inlineStr">
        <is>
          <t>1067746823099</t>
        </is>
      </c>
      <c r="H46" s="5" t="inlineStr">
        <is>
          <t>+7 (495) 944-00-40</t>
        </is>
      </c>
      <c r="I46" s="5" t="inlineStr">
        <is>
          <t>law-gosuslugi@nic.ru</t>
        </is>
      </c>
      <c r="J46" s="5" t="inlineStr">
        <is>
          <t>www.nic.ru</t>
        </is>
      </c>
      <c r="K46" s="5" t="inlineStr">
        <is>
          <t>125315, Г.Москва, ВНУТРИГОРОДСКАЯ ТЕРРИТОРИЯ ГОРОДА ФЕДЕРАЛЬНОГО ЗНАЧЕНИЯ МУНИЦИПАЛЬНЫЙ ОКРУГ АЭРОПОРТ, ПР-КТ ЛЕНИНГРАДСКИЙ, Д. 72</t>
        </is>
      </c>
      <c r="L46" s="6" t="n">
        <v>192</v>
      </c>
      <c r="M46" s="6" t="n">
        <v>3576040</v>
      </c>
      <c r="N46" s="6" t="n">
        <v>555489</v>
      </c>
      <c r="O46" s="6" t="n">
        <v>5030060</v>
      </c>
      <c r="P46" s="5"/>
      <c r="Q46" s="5"/>
    </row>
    <row collapsed="false" customFormat="false" customHeight="false" hidden="false" ht="12.1" outlineLevel="0" r="47">
      <c r="A47" s="4" t="s">
        <f>HYPERLINK("https://www.list-org.com/company/4379325","https://www.list-org.com/company/4379325")</f>
      </c>
      <c r="B47" s="5" t="inlineStr">
        <is>
          <t>АО "НЕТРИС"</t>
        </is>
      </c>
      <c r="C47" s="5" t="inlineStr">
        <is>
          <t>АКЦИОНЕРНОЕ ОБЩЕСТВО "НЕТРИС"</t>
        </is>
      </c>
      <c r="D47" s="5" t="inlineStr">
        <is>
          <t>действующее</t>
        </is>
      </c>
      <c r="E47" s="5" t="inlineStr">
        <is>
          <t>ЛОЕНКО ИГОРЬ ФЕДОРОВИЧ</t>
        </is>
      </c>
      <c r="F47" s="5" t="inlineStr">
        <is>
          <t>7730545793</t>
        </is>
      </c>
      <c r="G47" s="5" t="inlineStr">
        <is>
          <t>5067746008457</t>
        </is>
      </c>
      <c r="H47" s="5" t="inlineStr">
        <is>
          <t>+7 (495) 104-67-95</t>
        </is>
      </c>
      <c r="I47" s="5" t="inlineStr">
        <is>
          <t>admin@netris.ru, info@netris.ru</t>
        </is>
      </c>
      <c r="J47" s="5" t="inlineStr">
        <is>
          <t>www.netris.ru</t>
        </is>
      </c>
      <c r="K47" s="5" t="inlineStr">
        <is>
          <t>115054, Г.МОСКВА, МУНИЦИПАЛЬНЫЙ ОКРУГ ЗАМОСКВОРЕЧЬЕ, УЛ ПЯТНИЦКАЯ, Д. 69</t>
        </is>
      </c>
      <c r="L47" s="6" t="n">
        <v>203</v>
      </c>
      <c r="M47" s="6" t="n">
        <v>1667960</v>
      </c>
      <c r="N47" s="6" t="n">
        <v>128532</v>
      </c>
      <c r="O47" s="6" t="n">
        <v>866138</v>
      </c>
      <c r="P47" s="5"/>
      <c r="Q47" s="5"/>
    </row>
    <row collapsed="false" customFormat="false" customHeight="false" hidden="false" ht="12.1" outlineLevel="0" r="48">
      <c r="A48" s="4" t="s">
        <f>HYPERLINK("https://www.list-org.com/company/4405899","https://www.list-org.com/company/4405899")</f>
      </c>
      <c r="B48" s="5" t="inlineStr">
        <is>
          <t>ООО "НПО ВС"</t>
        </is>
      </c>
      <c r="C48" s="5" t="inlineStr">
        <is>
          <t>ОБЩЕСТВО С ОГРАНИЧЕННОЙ ОТВЕТСТВЕННОСТЬЮ "НАУЧНО-ПРОИЗВОДСТВЕННОЕ ОБЪЕДИНЕНИЕ ВЫЧИСЛИТЕЛЬНЫХ СИСТЕМ"</t>
        </is>
      </c>
      <c r="D48" s="5" t="inlineStr">
        <is>
          <t>действующее</t>
        </is>
      </c>
      <c r="E48" s="5" t="inlineStr">
        <is>
          <t>ГЕНЕРАЛЬНЫЙ ДИРЕКТОР КУЛЬМЯКОВ ИГОРЬ ВИКТОРОВИЧ</t>
        </is>
      </c>
      <c r="F48" s="5" t="inlineStr">
        <is>
          <t>1660093042</t>
        </is>
      </c>
      <c r="G48" s="5" t="inlineStr">
        <is>
          <t>1061686077298</t>
        </is>
      </c>
      <c r="H48" s="5" t="inlineStr">
        <is>
          <t>+7 (843) 279-51-73</t>
        </is>
      </c>
      <c r="I48" s="5" t="inlineStr">
        <is>
          <t>gospochta@icl.kazan.ru</t>
        </is>
      </c>
      <c r="J48" s="5" t="inlineStr">
        <is>
          <t>npo-vs.ru</t>
        </is>
      </c>
      <c r="K48" s="5" t="inlineStr">
        <is>
          <t>420088, РЕСПУБЛИКА ТАТАРСТАН (ТАТАРСТАН), Г. КАЗАНЬ, УЛ. ЖУРНАЛИСТОВ, Д.30, 2</t>
        </is>
      </c>
      <c r="L48" s="6" t="n">
        <v>372</v>
      </c>
      <c r="M48" s="6" t="n">
        <v>1224890</v>
      </c>
      <c r="N48" s="6" t="n">
        <v>15846</v>
      </c>
      <c r="O48" s="6" t="n">
        <v>172546</v>
      </c>
      <c r="P48" s="5"/>
      <c r="Q48" s="5"/>
    </row>
    <row collapsed="false" customFormat="false" customHeight="false" hidden="false" ht="12.1" outlineLevel="0" r="49">
      <c r="A49" s="4" t="s">
        <f>HYPERLINK("https://www.list-org.com/company/4530400","https://www.list-org.com/company/4530400")</f>
      </c>
      <c r="B49" s="5" t="inlineStr">
        <is>
          <t>ЗАО "АЙ КО"</t>
        </is>
      </c>
      <c r="C49" s="5" t="inlineStr">
        <is>
          <t>ЗАКРЫТОЕ АКЦИОНЕРНОЕ ОБЩЕСТВО "АЙ КО"</t>
        </is>
      </c>
      <c r="D49" s="5" t="inlineStr">
        <is>
          <t>действующее</t>
        </is>
      </c>
      <c r="E49" s="5" t="inlineStr">
        <is>
          <t>ДЕМИДОВ РУСЛАН СТАНИСЛАВОВИЧ</t>
        </is>
      </c>
      <c r="F49" s="5" t="inlineStr">
        <is>
          <t>7709716245</t>
        </is>
      </c>
      <c r="G49" s="5" t="inlineStr">
        <is>
          <t>1067761008864</t>
        </is>
      </c>
      <c r="H49" s="5" t="inlineStr">
        <is>
          <t>+7 (495) 912-10-45</t>
        </is>
      </c>
      <c r="I49" s="5" t="inlineStr">
        <is>
          <t>info@i-core.ru</t>
        </is>
      </c>
      <c r="J49" s="5" t="inlineStr">
        <is>
          <t>www.i-core.ru</t>
        </is>
      </c>
      <c r="K49" s="5" t="inlineStr">
        <is>
          <t>109004, Г.МОСКВА, ПЕР. БОЛЬШОЙ ДРОВЯНОЙ, Д. 8, СТР. 1, ЭТ 1 ПМ III КОМ 16</t>
        </is>
      </c>
      <c r="L49" s="6" t="n">
        <v>176</v>
      </c>
      <c r="M49" s="6" t="n">
        <v>4417060</v>
      </c>
      <c r="N49" s="6" t="n">
        <v>346114</v>
      </c>
      <c r="O49" s="6" t="n">
        <v>1023370</v>
      </c>
      <c r="P49" s="5"/>
      <c r="Q49" s="5"/>
    </row>
    <row collapsed="false" customFormat="false" customHeight="false" hidden="false" ht="12.1" outlineLevel="0" r="50">
      <c r="A50" s="4" t="s">
        <f>HYPERLINK("https://www.list-org.com/company/4815619","https://www.list-org.com/company/4815619")</f>
      </c>
      <c r="B50" s="5" t="inlineStr">
        <is>
          <t>ООО "ХЭДХАНТЕР"</t>
        </is>
      </c>
      <c r="C50" s="5" t="inlineStr">
        <is>
          <t>ОБЩЕСТВО С ОГРАНИЧЕННОЙ ОТВЕТСТВЕННОСТЬЮ "ХЭДХАНТЕР"</t>
        </is>
      </c>
      <c r="D50" s="5" t="inlineStr">
        <is>
          <t>действующее</t>
        </is>
      </c>
      <c r="E50" s="5" t="inlineStr">
        <is>
          <t>СЕРГИЕНКОВ ДМИТРИЙ СЕРГЕЕВИЧ</t>
        </is>
      </c>
      <c r="F50" s="5" t="inlineStr">
        <is>
          <t>7718620740</t>
        </is>
      </c>
      <c r="G50" s="5" t="inlineStr">
        <is>
          <t>1067761906805</t>
        </is>
      </c>
      <c r="H50" s="5" t="inlineStr">
        <is>
          <t>+7 (495) 974-64-27</t>
        </is>
      </c>
      <c r="I50" s="5" t="inlineStr">
        <is>
          <t>press@hh.ru</t>
        </is>
      </c>
      <c r="J50" s="5" t="inlineStr">
        <is>
          <t>https://hh.ru</t>
        </is>
      </c>
      <c r="K50" s="5" t="inlineStr">
        <is>
          <t>129085, МОСКВА ГОРОД, УЛ. ГОДОВИКОВА, Д.9, СТР.10</t>
        </is>
      </c>
      <c r="L50" s="6" t="n">
        <v>329</v>
      </c>
      <c r="M50" s="6" t="n">
        <v>36095500</v>
      </c>
      <c r="N50" s="6" t="n">
        <v>27370100</v>
      </c>
      <c r="O50" s="6" t="n">
        <v>10620300</v>
      </c>
      <c r="P50" s="5"/>
      <c r="Q50" s="5"/>
    </row>
    <row collapsed="false" customFormat="false" customHeight="false" hidden="false" ht="12.1" outlineLevel="0" r="51">
      <c r="A51" s="4" t="s">
        <f>HYPERLINK("https://www.list-org.com/company/4876546","https://www.list-org.com/company/4876546")</f>
      </c>
      <c r="B51" s="5" t="inlineStr">
        <is>
          <t>АО "АТС"</t>
        </is>
      </c>
      <c r="C51" s="5" t="inlineStr">
        <is>
          <t>АКЦИОНЕРНОЕ ОБЩЕСТВО "АДМИНИСТРАТОР ТОРГОВОЙ СИСТЕМЫ ОПТОВОГО РЫНКА ЭЛЕКТРОЭНЕРГИИ"</t>
        </is>
      </c>
      <c r="D51" s="5" t="inlineStr">
        <is>
          <t>действующее</t>
        </is>
      </c>
      <c r="E51" s="5" t="inlineStr">
        <is>
          <t>БЫСТРОВ МАКСИМ СЕРГЕЕВИЧ</t>
        </is>
      </c>
      <c r="F51" s="5" t="inlineStr">
        <is>
          <t>7703651792</t>
        </is>
      </c>
      <c r="G51" s="5" t="inlineStr">
        <is>
          <t>1077763818450</t>
        </is>
      </c>
      <c r="H51" s="5" t="inlineStr">
        <is>
          <t>+7 (495) 967-00-05</t>
        </is>
      </c>
      <c r="I51" s="5" t="inlineStr">
        <is>
          <t>mailbox@rosenergo.com, mailbox@atsenergo.ru</t>
        </is>
      </c>
      <c r="J51" s="5" t="inlineStr">
        <is>
          <t>http://pbxware.ru</t>
        </is>
      </c>
      <c r="K51" s="5" t="inlineStr">
        <is>
          <t>123610, Г.МОСКВА, МУНИЦИПАЛЬНЫЙ ОКРУГ ПРЕСНЕНСКИЙ, НАБ КРАСНОПРЕСНЕНСКАЯ, Д. 12, ПОМЕЩ. 3/2</t>
        </is>
      </c>
      <c r="L51" s="6" t="n">
        <v>401</v>
      </c>
      <c r="M51" s="6" t="n">
        <v>3915670</v>
      </c>
      <c r="N51" s="6" t="n">
        <v>207731</v>
      </c>
      <c r="O51" s="6" t="n">
        <v>3043250</v>
      </c>
      <c r="P51" s="5"/>
      <c r="Q51" s="5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2025-12-11T11:31:18.00Z</dcterms:created>
  <dc:title/>
  <dc:subject/>
  <dc:creator/>
  <dc:description/>
  <cp:revision>0</cp:revision>
</cp:coreProperties>
</file>